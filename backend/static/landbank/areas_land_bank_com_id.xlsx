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X:\Departamento Controladoria\3 - BT 360º\Landbank\"/>
    </mc:Choice>
  </mc:AlternateContent>
  <xr:revisionPtr revIDLastSave="0" documentId="13_ncr:1_{3AA838B7-6EA5-4DD9-982A-3AC974FA844F}" xr6:coauthVersionLast="47" xr6:coauthVersionMax="47" xr10:uidLastSave="{00000000-0000-0000-0000-000000000000}"/>
  <bookViews>
    <workbookView xWindow="28680" yWindow="-120" windowWidth="29040" windowHeight="15720" xr2:uid="{2D7381EB-1656-47BB-A82F-14AB3B13CCCD}"/>
  </bookViews>
  <sheets>
    <sheet name="AREAS" sheetId="1" r:id="rId1"/>
    <sheet name="Planilha2" sheetId="3" state="hidden" r:id="rId2"/>
  </sheets>
  <definedNames>
    <definedName name="_xlnm._FilterDatabase" localSheetId="0" hidden="1">AREAS!$A$1:$AQ$244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L244" i="1"/>
  <c r="W244" i="1"/>
  <c r="W57" i="1"/>
  <c r="AO244" i="1"/>
  <c r="AE242" i="1"/>
  <c r="AE243" i="1"/>
  <c r="AE244" i="1"/>
  <c r="V13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W36" i="1"/>
  <c r="W100" i="1"/>
  <c r="W99" i="1"/>
  <c r="W98" i="1"/>
  <c r="W97" i="1"/>
  <c r="W96" i="1"/>
  <c r="W95" i="1"/>
  <c r="W35" i="1"/>
  <c r="W34" i="1"/>
  <c r="W33" i="1"/>
  <c r="W208" i="1"/>
  <c r="B11" i="3"/>
  <c r="B5" i="3"/>
  <c r="L4" i="3"/>
  <c r="H4" i="3" a="1"/>
  <c r="G4" i="3" a="1"/>
  <c r="AP94" i="1"/>
  <c r="AO94" i="1"/>
  <c r="AG94" i="1"/>
  <c r="W94" i="1"/>
  <c r="AP93" i="1"/>
  <c r="AO93" i="1"/>
  <c r="AG93" i="1"/>
  <c r="W93" i="1"/>
  <c r="AP153" i="1"/>
  <c r="AO153" i="1"/>
  <c r="AG153" i="1"/>
  <c r="W153" i="1"/>
  <c r="AP13" i="1"/>
  <c r="AO13" i="1"/>
  <c r="AG13" i="1"/>
  <c r="W13" i="1"/>
  <c r="AP92" i="1"/>
  <c r="AO92" i="1"/>
  <c r="AG92" i="1"/>
  <c r="AC92" i="1"/>
  <c r="W92" i="1"/>
  <c r="AP91" i="1"/>
  <c r="AO91" i="1"/>
  <c r="AG91" i="1"/>
  <c r="AC91" i="1"/>
  <c r="W91" i="1"/>
  <c r="AP152" i="1"/>
  <c r="AO152" i="1"/>
  <c r="AG152" i="1"/>
  <c r="AC152" i="1"/>
  <c r="W152" i="1"/>
  <c r="AP90" i="1"/>
  <c r="AO90" i="1"/>
  <c r="AG90" i="1"/>
  <c r="AC90" i="1"/>
  <c r="W90" i="1"/>
  <c r="AP89" i="1"/>
  <c r="AO89" i="1"/>
  <c r="AG89" i="1"/>
  <c r="AC89" i="1"/>
  <c r="W89" i="1"/>
  <c r="AP12" i="1"/>
  <c r="AO12" i="1"/>
  <c r="AG12" i="1"/>
  <c r="AC12" i="1"/>
  <c r="W12" i="1"/>
  <c r="AP210" i="1"/>
  <c r="AO210" i="1"/>
  <c r="AG210" i="1"/>
  <c r="AC210" i="1"/>
  <c r="W210" i="1"/>
  <c r="AP209" i="1"/>
  <c r="AO209" i="1"/>
  <c r="AG209" i="1"/>
  <c r="AC209" i="1"/>
  <c r="W209" i="1"/>
  <c r="AP208" i="1"/>
  <c r="AO208" i="1"/>
  <c r="AG208" i="1"/>
  <c r="AC208" i="1"/>
  <c r="AP11" i="1"/>
  <c r="AO11" i="1"/>
  <c r="AG11" i="1"/>
  <c r="AC11" i="1"/>
  <c r="W11" i="1"/>
  <c r="AP10" i="1"/>
  <c r="AO10" i="1"/>
  <c r="AG10" i="1"/>
  <c r="AC10" i="1"/>
  <c r="W10" i="1"/>
  <c r="AP9" i="1"/>
  <c r="AO9" i="1"/>
  <c r="AG9" i="1"/>
  <c r="AC9" i="1"/>
  <c r="W9" i="1"/>
  <c r="AP8" i="1"/>
  <c r="AO8" i="1"/>
  <c r="AG8" i="1"/>
  <c r="AC8" i="1"/>
  <c r="W8" i="1"/>
  <c r="AP7" i="1"/>
  <c r="AO7" i="1"/>
  <c r="AG7" i="1"/>
  <c r="AC7" i="1"/>
  <c r="W7" i="1"/>
  <c r="AP6" i="1"/>
  <c r="AO6" i="1"/>
  <c r="AG6" i="1"/>
  <c r="AC6" i="1"/>
  <c r="W6" i="1"/>
  <c r="AP5" i="1"/>
  <c r="AO5" i="1"/>
  <c r="AG5" i="1"/>
  <c r="AC5" i="1"/>
  <c r="W5" i="1"/>
  <c r="AP4" i="1"/>
  <c r="AO4" i="1"/>
  <c r="AG4" i="1"/>
  <c r="AC4" i="1"/>
  <c r="W4" i="1"/>
  <c r="AP58" i="1"/>
  <c r="AO58" i="1"/>
  <c r="AG58" i="1"/>
  <c r="AC58" i="1"/>
  <c r="W58" i="1"/>
  <c r="AP3" i="1"/>
  <c r="AO3" i="1"/>
  <c r="AG3" i="1"/>
  <c r="W3" i="1"/>
  <c r="AP2" i="1"/>
  <c r="AO2" i="1"/>
  <c r="AG2" i="1"/>
  <c r="W2" i="1"/>
  <c r="AP88" i="1"/>
  <c r="AO88" i="1"/>
  <c r="AG88" i="1"/>
  <c r="AC88" i="1"/>
  <c r="W88" i="1"/>
  <c r="AP87" i="1"/>
  <c r="AO87" i="1"/>
  <c r="AG87" i="1"/>
  <c r="AC87" i="1"/>
  <c r="W87" i="1"/>
  <c r="AP86" i="1"/>
  <c r="AO86" i="1"/>
  <c r="AG86" i="1"/>
  <c r="W86" i="1"/>
  <c r="AP85" i="1"/>
  <c r="AO85" i="1"/>
  <c r="AG85" i="1"/>
  <c r="W85" i="1"/>
  <c r="AP84" i="1"/>
  <c r="AO84" i="1"/>
  <c r="AG84" i="1"/>
  <c r="W84" i="1"/>
  <c r="AP83" i="1"/>
  <c r="AO83" i="1"/>
  <c r="AG83" i="1"/>
  <c r="AC83" i="1"/>
  <c r="W83" i="1"/>
  <c r="AP82" i="1"/>
  <c r="AO82" i="1"/>
  <c r="AG82" i="1"/>
  <c r="AC82" i="1"/>
  <c r="W82" i="1"/>
  <c r="AP81" i="1"/>
  <c r="AO81" i="1"/>
  <c r="AG81" i="1"/>
  <c r="AC81" i="1"/>
  <c r="W81" i="1"/>
  <c r="AP80" i="1"/>
  <c r="AO80" i="1"/>
  <c r="AG80" i="1"/>
  <c r="AC80" i="1"/>
  <c r="W80" i="1"/>
  <c r="AP79" i="1"/>
  <c r="AO79" i="1"/>
  <c r="AG79" i="1"/>
  <c r="AC79" i="1"/>
  <c r="W79" i="1"/>
  <c r="AP78" i="1"/>
  <c r="AO78" i="1"/>
  <c r="AG78" i="1"/>
  <c r="AC78" i="1"/>
  <c r="W78" i="1"/>
  <c r="AP77" i="1"/>
  <c r="AO77" i="1"/>
  <c r="AG77" i="1"/>
  <c r="AC77" i="1"/>
  <c r="W77" i="1"/>
  <c r="AP76" i="1"/>
  <c r="AO76" i="1"/>
  <c r="AG76" i="1"/>
  <c r="AC76" i="1"/>
  <c r="W76" i="1"/>
  <c r="AP75" i="1"/>
  <c r="AO75" i="1"/>
  <c r="AG75" i="1"/>
  <c r="AC75" i="1"/>
  <c r="W75" i="1"/>
  <c r="AP74" i="1"/>
  <c r="AO74" i="1"/>
  <c r="AG74" i="1"/>
  <c r="AC74" i="1"/>
  <c r="W74" i="1"/>
  <c r="AP73" i="1"/>
  <c r="AO73" i="1"/>
  <c r="AG73" i="1"/>
  <c r="AC73" i="1"/>
  <c r="W73" i="1"/>
  <c r="AP72" i="1"/>
  <c r="AO72" i="1"/>
  <c r="AG72" i="1"/>
  <c r="W72" i="1"/>
  <c r="AP71" i="1"/>
  <c r="AO71" i="1"/>
  <c r="AG71" i="1"/>
  <c r="W71" i="1"/>
  <c r="AP70" i="1"/>
  <c r="AO70" i="1"/>
  <c r="AG70" i="1"/>
  <c r="W70" i="1"/>
  <c r="AP69" i="1"/>
  <c r="AO69" i="1"/>
  <c r="AG69" i="1"/>
  <c r="AC69" i="1"/>
  <c r="W69" i="1"/>
  <c r="AP68" i="1"/>
  <c r="AO68" i="1"/>
  <c r="AG68" i="1"/>
  <c r="AC68" i="1"/>
  <c r="W68" i="1"/>
  <c r="AP67" i="1"/>
  <c r="AO67" i="1"/>
  <c r="AG67" i="1"/>
  <c r="AC67" i="1"/>
  <c r="W67" i="1"/>
  <c r="AP66" i="1"/>
  <c r="AO66" i="1"/>
  <c r="AG66" i="1"/>
  <c r="AC66" i="1"/>
  <c r="W66" i="1"/>
  <c r="AP65" i="1"/>
  <c r="AO65" i="1"/>
  <c r="AG65" i="1"/>
  <c r="AC65" i="1"/>
  <c r="W65" i="1"/>
  <c r="AP64" i="1"/>
  <c r="AO64" i="1"/>
  <c r="AG64" i="1"/>
  <c r="AC64" i="1"/>
  <c r="W64" i="1"/>
  <c r="AP63" i="1"/>
  <c r="AO63" i="1"/>
  <c r="AG63" i="1"/>
  <c r="AC63" i="1"/>
  <c r="W63" i="1"/>
  <c r="AP62" i="1"/>
  <c r="AO62" i="1"/>
  <c r="AG62" i="1"/>
  <c r="AC62" i="1"/>
  <c r="W62" i="1"/>
  <c r="AP61" i="1"/>
  <c r="AO61" i="1"/>
  <c r="AG61" i="1"/>
  <c r="AC61" i="1"/>
  <c r="W61" i="1"/>
  <c r="AP60" i="1"/>
  <c r="AO60" i="1"/>
  <c r="AG60" i="1"/>
  <c r="AC60" i="1"/>
  <c r="W60" i="1"/>
  <c r="AP207" i="1"/>
  <c r="AO207" i="1"/>
  <c r="AG207" i="1"/>
  <c r="AC207" i="1"/>
  <c r="W207" i="1"/>
  <c r="AP206" i="1"/>
  <c r="AO206" i="1"/>
  <c r="AG206" i="1"/>
  <c r="AC206" i="1"/>
  <c r="W206" i="1"/>
  <c r="AP205" i="1"/>
  <c r="AO205" i="1"/>
  <c r="AG205" i="1"/>
  <c r="AC205" i="1"/>
  <c r="W205" i="1"/>
  <c r="AP204" i="1"/>
  <c r="AO204" i="1"/>
  <c r="AG204" i="1"/>
  <c r="AC204" i="1"/>
  <c r="W204" i="1"/>
  <c r="AP203" i="1"/>
  <c r="AO203" i="1"/>
  <c r="AG203" i="1"/>
  <c r="AC203" i="1"/>
  <c r="W203" i="1"/>
  <c r="AP202" i="1"/>
  <c r="AO202" i="1"/>
  <c r="AG202" i="1"/>
  <c r="AC202" i="1"/>
  <c r="W202" i="1"/>
  <c r="AP201" i="1"/>
  <c r="AO201" i="1"/>
  <c r="AG201" i="1"/>
  <c r="AC201" i="1"/>
  <c r="W201" i="1"/>
  <c r="AP200" i="1"/>
  <c r="AO200" i="1"/>
  <c r="AG200" i="1"/>
  <c r="AC200" i="1"/>
  <c r="W200" i="1"/>
  <c r="AP199" i="1"/>
  <c r="AO199" i="1"/>
  <c r="AG199" i="1"/>
  <c r="AC199" i="1"/>
  <c r="W199" i="1"/>
  <c r="AP59" i="1"/>
  <c r="AO59" i="1"/>
  <c r="AG59" i="1"/>
  <c r="AC59" i="1"/>
  <c r="W59" i="1"/>
  <c r="AP151" i="1"/>
  <c r="AO151" i="1"/>
  <c r="AG151" i="1"/>
  <c r="AC151" i="1"/>
  <c r="W151" i="1"/>
  <c r="AP198" i="1"/>
  <c r="AO198" i="1"/>
  <c r="AG198" i="1"/>
  <c r="AC198" i="1"/>
  <c r="W198" i="1"/>
  <c r="AP197" i="1"/>
  <c r="AO197" i="1"/>
  <c r="AG197" i="1"/>
  <c r="AC197" i="1"/>
  <c r="W197" i="1"/>
  <c r="AP196" i="1"/>
  <c r="AO196" i="1"/>
  <c r="AG196" i="1"/>
  <c r="AC196" i="1"/>
  <c r="W196" i="1"/>
  <c r="AP195" i="1"/>
  <c r="AO195" i="1"/>
  <c r="AG195" i="1"/>
  <c r="AC195" i="1"/>
  <c r="W195" i="1"/>
  <c r="AP194" i="1"/>
  <c r="AO194" i="1"/>
  <c r="AG194" i="1"/>
  <c r="AC194" i="1"/>
  <c r="W194" i="1"/>
  <c r="AP193" i="1"/>
  <c r="AO193" i="1"/>
  <c r="AG193" i="1"/>
  <c r="AC193" i="1"/>
  <c r="W193" i="1"/>
  <c r="AP192" i="1"/>
  <c r="AO192" i="1"/>
  <c r="AG192" i="1"/>
  <c r="AC192" i="1"/>
  <c r="W192" i="1"/>
  <c r="AP191" i="1"/>
  <c r="AO191" i="1"/>
  <c r="AG191" i="1"/>
  <c r="AC191" i="1"/>
  <c r="W191" i="1"/>
  <c r="AP190" i="1"/>
  <c r="AO190" i="1"/>
  <c r="AG190" i="1"/>
  <c r="AC190" i="1"/>
  <c r="W190" i="1"/>
  <c r="AP189" i="1"/>
  <c r="AO189" i="1"/>
  <c r="AG189" i="1"/>
  <c r="AC189" i="1"/>
  <c r="W189" i="1"/>
  <c r="AP188" i="1"/>
  <c r="AO188" i="1"/>
  <c r="AG188" i="1"/>
  <c r="AC188" i="1"/>
  <c r="W188" i="1"/>
  <c r="AP187" i="1"/>
  <c r="AO187" i="1"/>
  <c r="AG187" i="1"/>
  <c r="AC187" i="1"/>
  <c r="W187" i="1"/>
  <c r="AP186" i="1"/>
  <c r="AO186" i="1"/>
  <c r="AG186" i="1"/>
  <c r="AC186" i="1"/>
  <c r="W186" i="1"/>
  <c r="AP185" i="1"/>
  <c r="AO185" i="1"/>
  <c r="AG185" i="1"/>
  <c r="AC185" i="1"/>
  <c r="W185" i="1"/>
  <c r="AP184" i="1"/>
  <c r="AO184" i="1"/>
  <c r="AG184" i="1"/>
  <c r="AC184" i="1"/>
  <c r="W184" i="1"/>
  <c r="AP183" i="1"/>
  <c r="AO183" i="1"/>
  <c r="AG183" i="1"/>
  <c r="AC183" i="1"/>
  <c r="W183" i="1"/>
  <c r="AP182" i="1"/>
  <c r="AO182" i="1"/>
  <c r="AG182" i="1"/>
  <c r="AC182" i="1"/>
  <c r="W182" i="1"/>
  <c r="AP181" i="1"/>
  <c r="AO181" i="1"/>
  <c r="AG181" i="1"/>
  <c r="AC181" i="1"/>
  <c r="W181" i="1"/>
  <c r="AP180" i="1"/>
  <c r="AO180" i="1"/>
  <c r="AG180" i="1"/>
  <c r="AC180" i="1"/>
  <c r="W180" i="1"/>
  <c r="AP179" i="1"/>
  <c r="AO179" i="1"/>
  <c r="AG179" i="1"/>
  <c r="AC179" i="1"/>
  <c r="W179" i="1"/>
  <c r="AP178" i="1"/>
  <c r="AO178" i="1"/>
  <c r="AG178" i="1"/>
  <c r="AC178" i="1"/>
  <c r="W178" i="1"/>
  <c r="AP177" i="1"/>
  <c r="AO177" i="1"/>
  <c r="AG177" i="1"/>
  <c r="AC177" i="1"/>
  <c r="W177" i="1"/>
  <c r="AP176" i="1"/>
  <c r="AO176" i="1"/>
  <c r="AG176" i="1"/>
  <c r="AC176" i="1"/>
  <c r="W176" i="1"/>
  <c r="AP175" i="1"/>
  <c r="AO175" i="1"/>
  <c r="AG175" i="1"/>
  <c r="AC175" i="1"/>
  <c r="W175" i="1"/>
  <c r="AP174" i="1"/>
  <c r="AO174" i="1"/>
  <c r="AG174" i="1"/>
  <c r="AC174" i="1"/>
  <c r="W174" i="1"/>
  <c r="AP173" i="1"/>
  <c r="AO173" i="1"/>
  <c r="AG173" i="1"/>
  <c r="AC173" i="1"/>
  <c r="W173" i="1"/>
  <c r="AP172" i="1"/>
  <c r="AO172" i="1"/>
  <c r="AG172" i="1"/>
  <c r="AC172" i="1"/>
  <c r="W172" i="1"/>
  <c r="AP171" i="1"/>
  <c r="AO171" i="1"/>
  <c r="AG171" i="1"/>
  <c r="AC171" i="1"/>
  <c r="W171" i="1"/>
  <c r="AP170" i="1"/>
  <c r="AO170" i="1"/>
  <c r="AG170" i="1"/>
  <c r="AC170" i="1"/>
  <c r="W170" i="1"/>
  <c r="AP169" i="1"/>
  <c r="AO169" i="1"/>
  <c r="AG169" i="1"/>
  <c r="AC169" i="1"/>
  <c r="W169" i="1"/>
  <c r="AP168" i="1"/>
  <c r="AO168" i="1"/>
  <c r="AG168" i="1"/>
  <c r="AC168" i="1"/>
  <c r="W168" i="1"/>
  <c r="AP167" i="1"/>
  <c r="AO167" i="1"/>
  <c r="AG167" i="1"/>
  <c r="AC167" i="1"/>
  <c r="W167" i="1"/>
  <c r="AP166" i="1"/>
  <c r="AO166" i="1"/>
  <c r="AG166" i="1"/>
  <c r="AC166" i="1"/>
  <c r="W166" i="1"/>
  <c r="AP165" i="1"/>
  <c r="AO165" i="1"/>
  <c r="AG165" i="1"/>
  <c r="AC165" i="1"/>
  <c r="W165" i="1"/>
  <c r="AP164" i="1"/>
  <c r="AO164" i="1"/>
  <c r="AG164" i="1"/>
  <c r="AC164" i="1"/>
  <c r="W164" i="1"/>
  <c r="AP163" i="1"/>
  <c r="AO163" i="1"/>
  <c r="AG163" i="1"/>
  <c r="AC163" i="1"/>
  <c r="W163" i="1"/>
  <c r="AP162" i="1"/>
  <c r="AO162" i="1"/>
  <c r="AG162" i="1"/>
  <c r="AC162" i="1"/>
  <c r="W162" i="1"/>
  <c r="AP161" i="1"/>
  <c r="AO161" i="1"/>
  <c r="AG161" i="1"/>
  <c r="AC161" i="1"/>
  <c r="W161" i="1"/>
  <c r="AP160" i="1"/>
  <c r="AO160" i="1"/>
  <c r="AG160" i="1"/>
  <c r="AC160" i="1"/>
  <c r="W160" i="1"/>
  <c r="AP159" i="1"/>
  <c r="AO159" i="1"/>
  <c r="AG159" i="1"/>
  <c r="AC159" i="1"/>
  <c r="W159" i="1"/>
  <c r="AP158" i="1"/>
  <c r="AO158" i="1"/>
  <c r="AG158" i="1"/>
  <c r="W158" i="1"/>
  <c r="AP157" i="1"/>
  <c r="AO157" i="1"/>
  <c r="AG157" i="1"/>
  <c r="AC157" i="1"/>
  <c r="W157" i="1"/>
  <c r="AP156" i="1"/>
  <c r="AO156" i="1"/>
  <c r="AG156" i="1"/>
  <c r="W156" i="1"/>
  <c r="AP150" i="1"/>
  <c r="AO150" i="1"/>
  <c r="AG150" i="1"/>
  <c r="AC150" i="1"/>
  <c r="W150" i="1"/>
  <c r="AP149" i="1"/>
  <c r="AO149" i="1"/>
  <c r="AG149" i="1"/>
  <c r="AC149" i="1"/>
  <c r="W149" i="1"/>
  <c r="AP148" i="1"/>
  <c r="AO148" i="1"/>
  <c r="AG148" i="1"/>
  <c r="AC148" i="1"/>
  <c r="W148" i="1"/>
  <c r="AP155" i="1"/>
  <c r="AO155" i="1"/>
  <c r="AG155" i="1"/>
  <c r="AC155" i="1"/>
  <c r="W155" i="1"/>
  <c r="AP147" i="1"/>
  <c r="AO147" i="1"/>
  <c r="AG147" i="1"/>
  <c r="AC147" i="1"/>
  <c r="W147" i="1"/>
  <c r="AP146" i="1"/>
  <c r="AO146" i="1"/>
  <c r="AG146" i="1"/>
  <c r="AC146" i="1"/>
  <c r="W146" i="1"/>
  <c r="AP145" i="1"/>
  <c r="AO145" i="1"/>
  <c r="AG145" i="1"/>
  <c r="AC145" i="1"/>
  <c r="W145" i="1"/>
  <c r="AP154" i="1"/>
  <c r="AO154" i="1"/>
  <c r="AG154" i="1"/>
  <c r="AC154" i="1"/>
  <c r="W154" i="1"/>
  <c r="AP144" i="1"/>
  <c r="AO144" i="1"/>
  <c r="AG144" i="1"/>
  <c r="AC144" i="1"/>
  <c r="W144" i="1"/>
  <c r="AP143" i="1"/>
  <c r="AO143" i="1"/>
  <c r="AG143" i="1"/>
  <c r="AC143" i="1"/>
  <c r="W143" i="1"/>
  <c r="AP142" i="1"/>
  <c r="AO142" i="1"/>
  <c r="AG142" i="1"/>
  <c r="AC142" i="1"/>
  <c r="W142" i="1"/>
  <c r="AP141" i="1"/>
  <c r="AO141" i="1"/>
  <c r="AG141" i="1"/>
  <c r="AC141" i="1"/>
  <c r="W141" i="1"/>
  <c r="AP140" i="1"/>
  <c r="AO140" i="1"/>
  <c r="AG140" i="1"/>
  <c r="AC140" i="1"/>
  <c r="W140" i="1"/>
  <c r="AP139" i="1"/>
  <c r="AO139" i="1"/>
  <c r="AG139" i="1"/>
  <c r="AC139" i="1"/>
  <c r="W139" i="1"/>
  <c r="AP138" i="1"/>
  <c r="AO138" i="1"/>
  <c r="AG138" i="1"/>
  <c r="AC138" i="1"/>
  <c r="W138" i="1"/>
  <c r="AP137" i="1"/>
  <c r="AO137" i="1"/>
  <c r="AG137" i="1"/>
  <c r="AC137" i="1"/>
  <c r="W137" i="1"/>
  <c r="AP136" i="1"/>
  <c r="AO136" i="1"/>
  <c r="AG136" i="1"/>
  <c r="AC136" i="1"/>
  <c r="W136" i="1"/>
  <c r="AP135" i="1"/>
  <c r="AO135" i="1"/>
  <c r="AG135" i="1"/>
  <c r="AC135" i="1"/>
  <c r="W135" i="1"/>
  <c r="AP134" i="1"/>
  <c r="AO134" i="1"/>
  <c r="AG134" i="1"/>
  <c r="AC134" i="1"/>
  <c r="W134" i="1"/>
  <c r="AP133" i="1"/>
  <c r="AO133" i="1"/>
  <c r="AG133" i="1"/>
  <c r="AC133" i="1"/>
  <c r="W133" i="1"/>
  <c r="AP132" i="1"/>
  <c r="AO132" i="1"/>
  <c r="AG132" i="1"/>
  <c r="AC132" i="1"/>
  <c r="W132" i="1"/>
  <c r="AP131" i="1"/>
  <c r="AO131" i="1"/>
  <c r="AG131" i="1"/>
  <c r="AC131" i="1"/>
  <c r="W131" i="1"/>
  <c r="AP130" i="1"/>
  <c r="AO130" i="1"/>
  <c r="AG130" i="1"/>
  <c r="AC130" i="1"/>
  <c r="W130" i="1"/>
  <c r="AP243" i="1"/>
  <c r="AO243" i="1"/>
  <c r="AG243" i="1"/>
  <c r="W243" i="1"/>
  <c r="AP57" i="1"/>
  <c r="AO57" i="1"/>
  <c r="AG57" i="1"/>
  <c r="AC57" i="1"/>
  <c r="AP56" i="1"/>
  <c r="AO56" i="1"/>
  <c r="AG56" i="1"/>
  <c r="AC56" i="1"/>
  <c r="W56" i="1"/>
  <c r="AP55" i="1"/>
  <c r="AO55" i="1"/>
  <c r="AG55" i="1"/>
  <c r="AC55" i="1"/>
  <c r="W55" i="1"/>
  <c r="AP54" i="1"/>
  <c r="AO54" i="1"/>
  <c r="AG54" i="1"/>
  <c r="AC54" i="1"/>
  <c r="W54" i="1"/>
  <c r="AP53" i="1"/>
  <c r="AO53" i="1"/>
  <c r="AG53" i="1"/>
  <c r="AC53" i="1"/>
  <c r="W53" i="1"/>
  <c r="AP52" i="1"/>
  <c r="AO52" i="1"/>
  <c r="AG52" i="1"/>
  <c r="AC52" i="1"/>
  <c r="W52" i="1"/>
  <c r="AP129" i="1"/>
  <c r="AO129" i="1"/>
  <c r="AG129" i="1"/>
  <c r="AC129" i="1"/>
  <c r="W129" i="1"/>
  <c r="AP128" i="1"/>
  <c r="AO128" i="1"/>
  <c r="AG128" i="1"/>
  <c r="AC128" i="1"/>
  <c r="W128" i="1"/>
  <c r="AP127" i="1"/>
  <c r="AO127" i="1"/>
  <c r="AG127" i="1"/>
  <c r="AC127" i="1"/>
  <c r="W127" i="1"/>
  <c r="AP126" i="1"/>
  <c r="AO126" i="1"/>
  <c r="AG126" i="1"/>
  <c r="AC126" i="1"/>
  <c r="W126" i="1"/>
  <c r="AP125" i="1"/>
  <c r="AO125" i="1"/>
  <c r="AG125" i="1"/>
  <c r="AC125" i="1"/>
  <c r="W125" i="1"/>
  <c r="AP124" i="1"/>
  <c r="AO124" i="1"/>
  <c r="AG124" i="1"/>
  <c r="AC124" i="1"/>
  <c r="W124" i="1"/>
  <c r="AP123" i="1"/>
  <c r="AO123" i="1"/>
  <c r="AG123" i="1"/>
  <c r="AC123" i="1"/>
  <c r="W123" i="1"/>
  <c r="AP242" i="1"/>
  <c r="AO242" i="1"/>
  <c r="AG242" i="1"/>
  <c r="AC242" i="1"/>
  <c r="W242" i="1"/>
  <c r="AP241" i="1"/>
  <c r="AO241" i="1"/>
  <c r="AG241" i="1"/>
  <c r="AC241" i="1"/>
  <c r="W241" i="1"/>
  <c r="AP122" i="1"/>
  <c r="AO122" i="1"/>
  <c r="AG122" i="1"/>
  <c r="AC122" i="1"/>
  <c r="W122" i="1"/>
  <c r="AP121" i="1"/>
  <c r="AO121" i="1"/>
  <c r="AG121" i="1"/>
  <c r="AC121" i="1"/>
  <c r="W121" i="1"/>
  <c r="AP240" i="1"/>
  <c r="AO240" i="1"/>
  <c r="AG240" i="1"/>
  <c r="AC240" i="1"/>
  <c r="W240" i="1"/>
  <c r="AP120" i="1"/>
  <c r="AO120" i="1"/>
  <c r="AG120" i="1"/>
  <c r="AC120" i="1"/>
  <c r="W120" i="1"/>
  <c r="AP119" i="1"/>
  <c r="AO119" i="1"/>
  <c r="AG119" i="1"/>
  <c r="AC119" i="1"/>
  <c r="W119" i="1"/>
  <c r="AP118" i="1"/>
  <c r="AO118" i="1"/>
  <c r="AG118" i="1"/>
  <c r="AC118" i="1"/>
  <c r="W118" i="1"/>
  <c r="AP117" i="1"/>
  <c r="AO117" i="1"/>
  <c r="AG117" i="1"/>
  <c r="AC117" i="1"/>
  <c r="W117" i="1"/>
  <c r="AP116" i="1"/>
  <c r="AO116" i="1"/>
  <c r="AG116" i="1"/>
  <c r="AC116" i="1"/>
  <c r="W116" i="1"/>
  <c r="AP115" i="1"/>
  <c r="AO115" i="1"/>
  <c r="AG115" i="1"/>
  <c r="AC115" i="1"/>
  <c r="W115" i="1"/>
  <c r="AP114" i="1"/>
  <c r="AO114" i="1"/>
  <c r="AG114" i="1"/>
  <c r="AC114" i="1"/>
  <c r="W114" i="1"/>
  <c r="AP113" i="1"/>
  <c r="AO113" i="1"/>
  <c r="AG113" i="1"/>
  <c r="AC113" i="1"/>
  <c r="W113" i="1"/>
  <c r="AP112" i="1"/>
  <c r="AO112" i="1"/>
  <c r="AG112" i="1"/>
  <c r="AC112" i="1"/>
  <c r="W112" i="1"/>
  <c r="AP111" i="1"/>
  <c r="AO111" i="1"/>
  <c r="AG111" i="1"/>
  <c r="AC111" i="1"/>
  <c r="W111" i="1"/>
  <c r="AP110" i="1"/>
  <c r="AO110" i="1"/>
  <c r="AG110" i="1"/>
  <c r="AC110" i="1"/>
  <c r="W110" i="1"/>
  <c r="AP109" i="1"/>
  <c r="AO109" i="1"/>
  <c r="AG109" i="1"/>
  <c r="AC109" i="1"/>
  <c r="W109" i="1"/>
  <c r="AP108" i="1"/>
  <c r="AO108" i="1"/>
  <c r="AG108" i="1"/>
  <c r="AC108" i="1"/>
  <c r="W108" i="1"/>
  <c r="AP107" i="1"/>
  <c r="AO107" i="1"/>
  <c r="AG107" i="1"/>
  <c r="AC107" i="1"/>
  <c r="W107" i="1"/>
  <c r="AP106" i="1"/>
  <c r="AO106" i="1"/>
  <c r="AG106" i="1"/>
  <c r="AC106" i="1"/>
  <c r="W106" i="1"/>
  <c r="AP105" i="1"/>
  <c r="AO105" i="1"/>
  <c r="AG105" i="1"/>
  <c r="AC105" i="1"/>
  <c r="W105" i="1"/>
  <c r="AP32" i="1"/>
  <c r="AO32" i="1"/>
  <c r="AG32" i="1"/>
  <c r="AC32" i="1"/>
  <c r="W32" i="1"/>
  <c r="AP31" i="1"/>
  <c r="AO31" i="1"/>
  <c r="AG31" i="1"/>
  <c r="AC31" i="1"/>
  <c r="W31" i="1"/>
  <c r="AP30" i="1"/>
  <c r="AO30" i="1"/>
  <c r="AG30" i="1"/>
  <c r="AC30" i="1"/>
  <c r="W30" i="1"/>
  <c r="AP29" i="1"/>
  <c r="AO29" i="1"/>
  <c r="AG29" i="1"/>
  <c r="AC29" i="1"/>
  <c r="W29" i="1"/>
  <c r="AP28" i="1"/>
  <c r="AO28" i="1"/>
  <c r="AG28" i="1"/>
  <c r="W28" i="1"/>
  <c r="AP27" i="1"/>
  <c r="AO27" i="1"/>
  <c r="AG27" i="1"/>
  <c r="W27" i="1"/>
  <c r="AP26" i="1"/>
  <c r="AO26" i="1"/>
  <c r="AG26" i="1"/>
  <c r="W26" i="1"/>
  <c r="AP25" i="1"/>
  <c r="AO25" i="1"/>
  <c r="AG25" i="1"/>
  <c r="W25" i="1"/>
  <c r="AP24" i="1"/>
  <c r="AO24" i="1"/>
  <c r="AG24" i="1"/>
  <c r="W24" i="1"/>
  <c r="AP23" i="1"/>
  <c r="AO23" i="1"/>
  <c r="AG23" i="1"/>
  <c r="AC23" i="1"/>
  <c r="W23" i="1"/>
  <c r="AP22" i="1"/>
  <c r="AO22" i="1"/>
  <c r="AG22" i="1"/>
  <c r="AC22" i="1"/>
  <c r="W22" i="1"/>
  <c r="AP21" i="1"/>
  <c r="AO21" i="1"/>
  <c r="AG21" i="1"/>
  <c r="AC21" i="1"/>
  <c r="W21" i="1"/>
  <c r="AP20" i="1"/>
  <c r="AO20" i="1"/>
  <c r="AG20" i="1"/>
  <c r="AC20" i="1"/>
  <c r="W20" i="1"/>
  <c r="AP19" i="1"/>
  <c r="AO19" i="1"/>
  <c r="AG19" i="1"/>
  <c r="AC19" i="1"/>
  <c r="W19" i="1"/>
  <c r="AP18" i="1"/>
  <c r="AO18" i="1"/>
  <c r="AG18" i="1"/>
  <c r="AC18" i="1"/>
  <c r="W18" i="1"/>
  <c r="AP17" i="1"/>
  <c r="AO17" i="1"/>
  <c r="AG17" i="1"/>
  <c r="AC17" i="1"/>
  <c r="W17" i="1"/>
  <c r="AP16" i="1"/>
  <c r="AO16" i="1"/>
  <c r="AG16" i="1"/>
  <c r="AC16" i="1"/>
  <c r="W16" i="1"/>
  <c r="AP15" i="1"/>
  <c r="AO15" i="1"/>
  <c r="AG15" i="1"/>
  <c r="AC15" i="1"/>
  <c r="W15" i="1"/>
  <c r="AP14" i="1"/>
  <c r="AO14" i="1"/>
  <c r="AG14" i="1"/>
  <c r="AC14" i="1"/>
  <c r="W14" i="1"/>
  <c r="AP239" i="1"/>
  <c r="AO239" i="1"/>
  <c r="AG239" i="1"/>
  <c r="AC239" i="1"/>
  <c r="W239" i="1"/>
  <c r="AP238" i="1"/>
  <c r="AO238" i="1"/>
  <c r="AG238" i="1"/>
  <c r="AC238" i="1"/>
  <c r="W238" i="1"/>
  <c r="AP237" i="1"/>
  <c r="AO237" i="1"/>
  <c r="AG237" i="1"/>
  <c r="W237" i="1"/>
  <c r="AP236" i="1"/>
  <c r="AO236" i="1"/>
  <c r="AG236" i="1"/>
  <c r="AC236" i="1"/>
  <c r="W236" i="1"/>
  <c r="AP104" i="1"/>
  <c r="AO104" i="1"/>
  <c r="AG104" i="1"/>
  <c r="AC104" i="1"/>
  <c r="W104" i="1"/>
  <c r="AP103" i="1"/>
  <c r="AO103" i="1"/>
  <c r="AG103" i="1"/>
  <c r="AC103" i="1"/>
  <c r="W103" i="1"/>
  <c r="AP102" i="1"/>
  <c r="AO102" i="1"/>
  <c r="AG102" i="1"/>
  <c r="AC102" i="1"/>
  <c r="W102" i="1"/>
  <c r="AP101" i="1"/>
  <c r="AO101" i="1"/>
  <c r="AG101" i="1"/>
  <c r="AC101" i="1"/>
  <c r="W101" i="1"/>
  <c r="AP235" i="1"/>
  <c r="AO235" i="1"/>
  <c r="AG235" i="1"/>
  <c r="AC235" i="1"/>
  <c r="W235" i="1"/>
  <c r="AP234" i="1"/>
  <c r="AO234" i="1"/>
  <c r="AG234" i="1"/>
  <c r="W234" i="1"/>
  <c r="AP233" i="1"/>
  <c r="AO233" i="1"/>
  <c r="AG233" i="1"/>
  <c r="AC233" i="1"/>
  <c r="W233" i="1"/>
  <c r="AP232" i="1"/>
  <c r="AO232" i="1"/>
  <c r="AG232" i="1"/>
  <c r="AC232" i="1"/>
  <c r="W232" i="1"/>
  <c r="AP231" i="1"/>
  <c r="AO231" i="1"/>
  <c r="AG231" i="1"/>
  <c r="AC231" i="1"/>
  <c r="W231" i="1"/>
  <c r="AP230" i="1"/>
  <c r="AO230" i="1"/>
  <c r="AG230" i="1"/>
  <c r="AC230" i="1"/>
  <c r="W230" i="1"/>
  <c r="AP229" i="1"/>
  <c r="AO229" i="1"/>
  <c r="AG229" i="1"/>
  <c r="AC229" i="1"/>
  <c r="W229" i="1"/>
  <c r="AP228" i="1"/>
  <c r="AO228" i="1"/>
  <c r="AG228" i="1"/>
  <c r="AC228" i="1"/>
  <c r="W228" i="1"/>
  <c r="AP227" i="1"/>
  <c r="AO227" i="1"/>
  <c r="AG227" i="1"/>
  <c r="AC227" i="1"/>
  <c r="W227" i="1"/>
  <c r="AP226" i="1"/>
  <c r="AO226" i="1"/>
  <c r="AG226" i="1"/>
  <c r="AC226" i="1"/>
  <c r="W226" i="1"/>
  <c r="AP225" i="1"/>
  <c r="AO225" i="1"/>
  <c r="AG225" i="1"/>
  <c r="AC225" i="1"/>
  <c r="W225" i="1"/>
  <c r="AP224" i="1"/>
  <c r="AO224" i="1"/>
  <c r="AG224" i="1"/>
  <c r="AC224" i="1"/>
  <c r="W224" i="1"/>
  <c r="AP223" i="1"/>
  <c r="AO223" i="1"/>
  <c r="AG223" i="1"/>
  <c r="AC223" i="1"/>
  <c r="W223" i="1"/>
  <c r="AP222" i="1"/>
  <c r="AO222" i="1"/>
  <c r="AG222" i="1"/>
  <c r="AC222" i="1"/>
  <c r="W222" i="1"/>
  <c r="AP221" i="1"/>
  <c r="AO221" i="1"/>
  <c r="AG221" i="1"/>
  <c r="AC221" i="1"/>
  <c r="W221" i="1"/>
  <c r="AP220" i="1"/>
  <c r="AO220" i="1"/>
  <c r="AG220" i="1"/>
  <c r="AC220" i="1"/>
  <c r="W220" i="1"/>
  <c r="AP219" i="1"/>
  <c r="AO219" i="1"/>
  <c r="AG219" i="1"/>
  <c r="AC219" i="1"/>
  <c r="W219" i="1"/>
  <c r="AP218" i="1"/>
  <c r="AO218" i="1"/>
  <c r="AG218" i="1"/>
  <c r="AC218" i="1"/>
  <c r="W218" i="1"/>
  <c r="AP217" i="1"/>
  <c r="AO217" i="1"/>
  <c r="AG217" i="1"/>
  <c r="AC217" i="1"/>
  <c r="W217" i="1"/>
  <c r="AP216" i="1"/>
  <c r="AO216" i="1"/>
  <c r="AG216" i="1"/>
  <c r="AC216" i="1"/>
  <c r="W216" i="1"/>
  <c r="AP215" i="1"/>
  <c r="AO215" i="1"/>
  <c r="AG215" i="1"/>
  <c r="AC215" i="1"/>
  <c r="W215" i="1"/>
  <c r="AP214" i="1"/>
  <c r="AO214" i="1"/>
  <c r="AG214" i="1"/>
  <c r="AC214" i="1"/>
  <c r="W214" i="1"/>
  <c r="AP213" i="1"/>
  <c r="AO213" i="1"/>
  <c r="AG213" i="1"/>
  <c r="AC213" i="1"/>
  <c r="W213" i="1"/>
  <c r="AP212" i="1"/>
  <c r="AO212" i="1"/>
  <c r="AG212" i="1"/>
  <c r="W212" i="1"/>
  <c r="AP211" i="1"/>
  <c r="AO211" i="1"/>
  <c r="AG211" i="1"/>
  <c r="AC211" i="1"/>
  <c r="W211" i="1"/>
  <c r="AP51" i="1"/>
  <c r="AO51" i="1"/>
  <c r="AG51" i="1"/>
  <c r="AC51" i="1"/>
  <c r="W51" i="1"/>
  <c r="AP50" i="1"/>
  <c r="AO50" i="1"/>
  <c r="AG50" i="1"/>
  <c r="AC50" i="1"/>
  <c r="W50" i="1"/>
  <c r="AP49" i="1"/>
  <c r="AO49" i="1"/>
  <c r="AG49" i="1"/>
  <c r="AC49" i="1"/>
  <c r="W49" i="1"/>
  <c r="AP48" i="1"/>
  <c r="AO48" i="1"/>
  <c r="AG48" i="1"/>
  <c r="AC48" i="1"/>
  <c r="W48" i="1"/>
  <c r="AP47" i="1"/>
  <c r="AO47" i="1"/>
  <c r="AG47" i="1"/>
  <c r="AC47" i="1"/>
  <c r="W47" i="1"/>
  <c r="AP46" i="1"/>
  <c r="AO46" i="1"/>
  <c r="AG46" i="1"/>
  <c r="AC46" i="1"/>
  <c r="W46" i="1"/>
  <c r="AP45" i="1"/>
  <c r="AO45" i="1"/>
  <c r="AG45" i="1"/>
  <c r="AC45" i="1"/>
  <c r="W45" i="1"/>
  <c r="AP44" i="1"/>
  <c r="AO44" i="1"/>
  <c r="AG44" i="1"/>
  <c r="AC44" i="1"/>
  <c r="W44" i="1"/>
  <c r="AP43" i="1"/>
  <c r="AO43" i="1"/>
  <c r="AG43" i="1"/>
  <c r="AC43" i="1"/>
  <c r="W43" i="1"/>
  <c r="AP42" i="1"/>
  <c r="AO42" i="1"/>
  <c r="AG42" i="1"/>
  <c r="AC42" i="1"/>
  <c r="W42" i="1"/>
  <c r="AP41" i="1"/>
  <c r="AO41" i="1"/>
  <c r="AG41" i="1"/>
  <c r="AC41" i="1"/>
  <c r="W41" i="1"/>
  <c r="AP40" i="1"/>
  <c r="AO40" i="1"/>
  <c r="AG40" i="1"/>
  <c r="AC40" i="1"/>
  <c r="W40" i="1"/>
  <c r="AP39" i="1"/>
  <c r="AO39" i="1"/>
  <c r="AG39" i="1"/>
  <c r="AC39" i="1"/>
  <c r="W39" i="1"/>
  <c r="AP38" i="1"/>
  <c r="AO38" i="1"/>
  <c r="AG38" i="1"/>
  <c r="AC38" i="1"/>
  <c r="W38" i="1"/>
  <c r="AP37" i="1"/>
  <c r="AO37" i="1"/>
  <c r="AG37" i="1"/>
  <c r="AC37" i="1"/>
  <c r="W37" i="1"/>
  <c r="AP36" i="1"/>
  <c r="AO36" i="1"/>
  <c r="AG36" i="1"/>
  <c r="AC36" i="1"/>
  <c r="AP100" i="1"/>
  <c r="AO100" i="1"/>
  <c r="AG100" i="1"/>
  <c r="AC100" i="1"/>
  <c r="AP99" i="1"/>
  <c r="AO99" i="1"/>
  <c r="AG99" i="1"/>
  <c r="AC99" i="1"/>
  <c r="AP98" i="1"/>
  <c r="AO98" i="1"/>
  <c r="AG98" i="1"/>
  <c r="AC98" i="1"/>
  <c r="AP97" i="1"/>
  <c r="AO97" i="1"/>
  <c r="AG97" i="1"/>
  <c r="AC97" i="1"/>
  <c r="AP96" i="1"/>
  <c r="AO96" i="1"/>
  <c r="AG96" i="1"/>
  <c r="AC96" i="1"/>
  <c r="AP95" i="1"/>
  <c r="AO95" i="1"/>
  <c r="AG95" i="1"/>
  <c r="AC95" i="1"/>
  <c r="AP35" i="1"/>
  <c r="AO35" i="1"/>
  <c r="AG35" i="1"/>
  <c r="AC35" i="1"/>
  <c r="AP34" i="1"/>
  <c r="AO34" i="1"/>
  <c r="AG34" i="1"/>
  <c r="AC34" i="1"/>
  <c r="AP33" i="1"/>
  <c r="AO33" i="1"/>
  <c r="AG33" i="1"/>
  <c r="AC33" i="1"/>
  <c r="M74" i="3" l="1"/>
  <c r="N61" i="3"/>
  <c r="N53" i="3"/>
  <c r="N50" i="3"/>
  <c r="N47" i="3"/>
  <c r="N44" i="3"/>
  <c r="M42" i="3"/>
  <c r="N37" i="3"/>
  <c r="M34" i="3"/>
  <c r="N30" i="3"/>
  <c r="N28" i="3"/>
  <c r="N25" i="3"/>
  <c r="N22" i="3"/>
  <c r="N19" i="3"/>
  <c r="M17" i="3"/>
  <c r="N13" i="3"/>
  <c r="N10" i="3"/>
  <c r="M8" i="3"/>
  <c r="R5" i="3"/>
  <c r="M76" i="3"/>
  <c r="M77" i="3"/>
  <c r="N71" i="3"/>
  <c r="M69" i="3"/>
  <c r="N64" i="3"/>
  <c r="M63" i="3"/>
  <c r="M61" i="3"/>
  <c r="N59" i="3"/>
  <c r="N57" i="3"/>
  <c r="M56" i="3"/>
  <c r="M54" i="3"/>
  <c r="M51" i="3"/>
  <c r="M49" i="3"/>
  <c r="M46" i="3"/>
  <c r="M44" i="3"/>
  <c r="N41" i="3"/>
  <c r="N39" i="3"/>
  <c r="N36" i="3"/>
  <c r="M35" i="3"/>
  <c r="N32" i="3"/>
  <c r="M30" i="3"/>
  <c r="M28" i="3"/>
  <c r="M26" i="3"/>
  <c r="N23" i="3"/>
  <c r="M21" i="3"/>
  <c r="N18" i="3"/>
  <c r="N16" i="3"/>
  <c r="N14" i="3"/>
  <c r="M12" i="3"/>
  <c r="M9" i="3"/>
  <c r="M7" i="3"/>
  <c r="Q5" i="3"/>
  <c r="M75" i="3"/>
  <c r="N67" i="3"/>
  <c r="M58" i="3"/>
  <c r="M53" i="3"/>
  <c r="M50" i="3"/>
  <c r="M47" i="3"/>
  <c r="N43" i="3"/>
  <c r="M41" i="3"/>
  <c r="M38" i="3"/>
  <c r="N34" i="3"/>
  <c r="M31" i="3"/>
  <c r="N27" i="3"/>
  <c r="M25" i="3"/>
  <c r="N21" i="3"/>
  <c r="M19" i="3"/>
  <c r="N15" i="3"/>
  <c r="N12" i="3"/>
  <c r="M10" i="3"/>
  <c r="Q7" i="3"/>
  <c r="N77" i="3"/>
  <c r="M73" i="3"/>
  <c r="N70" i="3"/>
  <c r="N68" i="3"/>
  <c r="M66" i="3"/>
  <c r="N76" i="3"/>
  <c r="N74" i="3"/>
  <c r="N72" i="3"/>
  <c r="M71" i="3"/>
  <c r="N69" i="3"/>
  <c r="M67" i="3"/>
  <c r="N65" i="3"/>
  <c r="N63" i="3"/>
  <c r="N62" i="3"/>
  <c r="M60" i="3"/>
  <c r="N58" i="3"/>
  <c r="N56" i="3"/>
  <c r="N55" i="3"/>
  <c r="N54" i="3"/>
  <c r="M52" i="3"/>
  <c r="N48" i="3"/>
  <c r="N46" i="3"/>
  <c r="M45" i="3"/>
  <c r="N42" i="3"/>
  <c r="M40" i="3"/>
  <c r="N38" i="3"/>
  <c r="M36" i="3"/>
  <c r="N33" i="3"/>
  <c r="M32" i="3"/>
  <c r="N29" i="3"/>
  <c r="M27" i="3"/>
  <c r="N24" i="3"/>
  <c r="M23" i="3"/>
  <c r="N20" i="3"/>
  <c r="M18" i="3"/>
  <c r="M15" i="3"/>
  <c r="M13" i="3"/>
  <c r="M11" i="3"/>
  <c r="N8" i="3"/>
  <c r="N7" i="3"/>
  <c r="M6" i="3"/>
  <c r="N75" i="3"/>
  <c r="N73" i="3"/>
  <c r="M72" i="3"/>
  <c r="M70" i="3"/>
  <c r="M68" i="3"/>
  <c r="N66" i="3"/>
  <c r="M65" i="3"/>
  <c r="M64" i="3"/>
  <c r="M62" i="3"/>
  <c r="N60" i="3"/>
  <c r="M59" i="3"/>
  <c r="M57" i="3"/>
  <c r="M55" i="3"/>
  <c r="N52" i="3"/>
  <c r="N51" i="3"/>
  <c r="N49" i="3"/>
  <c r="M48" i="3"/>
  <c r="N45" i="3"/>
  <c r="M43" i="3"/>
  <c r="N40" i="3"/>
  <c r="M39" i="3"/>
  <c r="N35" i="3"/>
  <c r="M33" i="3"/>
  <c r="N31" i="3"/>
  <c r="M29" i="3"/>
  <c r="N26" i="3"/>
  <c r="M24" i="3"/>
  <c r="M22" i="3"/>
  <c r="M20" i="3"/>
  <c r="N17" i="3"/>
  <c r="M16" i="3"/>
  <c r="M14" i="3"/>
  <c r="N11" i="3"/>
  <c r="N9" i="3"/>
  <c r="R7" i="3"/>
  <c r="N6" i="3"/>
  <c r="AQ57" i="1"/>
  <c r="AM244" i="1"/>
  <c r="AQ244" i="1"/>
  <c r="AF202" i="1"/>
  <c r="AF230" i="1"/>
  <c r="AF190" i="1"/>
  <c r="AF170" i="1"/>
  <c r="AF110" i="1"/>
  <c r="AF182" i="1"/>
  <c r="AF204" i="1"/>
  <c r="AF21" i="1"/>
  <c r="AF162" i="1"/>
  <c r="AF122" i="1"/>
  <c r="AF102" i="1"/>
  <c r="AF146" i="1"/>
  <c r="AF24" i="1"/>
  <c r="AF25" i="1"/>
  <c r="AF144" i="1"/>
  <c r="AF141" i="1"/>
  <c r="AF63" i="1"/>
  <c r="AF113" i="1"/>
  <c r="AF128" i="1"/>
  <c r="AF28" i="1"/>
  <c r="AF227" i="1"/>
  <c r="AF187" i="1"/>
  <c r="AF167" i="1"/>
  <c r="AF47" i="1"/>
  <c r="AF164" i="1"/>
  <c r="AF183" i="1"/>
  <c r="AF143" i="1"/>
  <c r="AF226" i="1"/>
  <c r="AF95" i="1"/>
  <c r="AF130" i="1"/>
  <c r="AF236" i="1"/>
  <c r="AF205" i="1"/>
  <c r="AF125" i="1"/>
  <c r="AF228" i="1"/>
  <c r="AF148" i="1"/>
  <c r="AF31" i="1"/>
  <c r="AF127" i="1"/>
  <c r="AF35" i="1"/>
  <c r="AF52" i="1"/>
  <c r="AF201" i="1"/>
  <c r="AF184" i="1"/>
  <c r="AF233" i="1"/>
  <c r="AF48" i="1"/>
  <c r="AF20" i="1"/>
  <c r="AF220" i="1"/>
  <c r="AF140" i="1"/>
  <c r="AF60" i="1"/>
  <c r="AF120" i="1"/>
  <c r="AF99" i="1"/>
  <c r="AF214" i="1"/>
  <c r="AF114" i="1"/>
  <c r="AF96" i="1"/>
  <c r="AF231" i="1"/>
  <c r="AF108" i="1"/>
  <c r="AF112" i="1"/>
  <c r="AF129" i="1"/>
  <c r="AF17" i="1"/>
  <c r="AF234" i="1"/>
  <c r="AF53" i="1"/>
  <c r="AF100" i="1"/>
  <c r="AF111" i="1"/>
  <c r="AF34" i="1"/>
  <c r="AF200" i="1"/>
  <c r="AF217" i="1"/>
  <c r="AF18" i="1"/>
  <c r="AF138" i="1"/>
  <c r="AF49" i="1"/>
  <c r="AF154" i="1"/>
  <c r="AF97" i="1"/>
  <c r="AF16" i="1"/>
  <c r="AF139" i="1"/>
  <c r="AF109" i="1"/>
  <c r="AF126" i="1"/>
  <c r="AF117" i="1"/>
  <c r="AF56" i="1"/>
  <c r="AF191" i="1"/>
  <c r="AF171" i="1"/>
  <c r="AF59" i="1"/>
  <c r="AF174" i="1"/>
  <c r="AF194" i="1"/>
  <c r="AF71" i="1"/>
  <c r="AF161" i="1"/>
  <c r="AF181" i="1"/>
  <c r="AF199" i="1"/>
  <c r="AF36" i="1"/>
  <c r="AF19" i="1"/>
  <c r="AF229" i="1"/>
  <c r="AF137" i="1"/>
  <c r="AF107" i="1"/>
  <c r="AF44" i="1"/>
  <c r="AF160" i="1"/>
  <c r="AF180" i="1"/>
  <c r="AF70" i="1"/>
  <c r="AF124" i="1"/>
  <c r="AF15" i="1"/>
  <c r="AF235" i="1"/>
  <c r="AF118" i="1"/>
  <c r="AF57" i="1"/>
  <c r="AF215" i="1"/>
  <c r="AF225" i="1"/>
  <c r="AF22" i="1"/>
  <c r="AF165" i="1"/>
  <c r="AF185" i="1"/>
  <c r="AF46" i="1"/>
  <c r="AF232" i="1"/>
  <c r="AF98" i="1"/>
  <c r="AF166" i="1"/>
  <c r="AF186" i="1"/>
  <c r="AF223" i="1"/>
  <c r="AF133" i="1"/>
  <c r="AF173" i="1"/>
  <c r="AF193" i="1"/>
  <c r="AF66" i="1"/>
  <c r="AF237" i="1"/>
  <c r="AF134" i="1"/>
  <c r="AF32" i="1"/>
  <c r="AF241" i="1"/>
  <c r="AF221" i="1"/>
  <c r="AF131" i="1"/>
  <c r="AF149" i="1"/>
  <c r="AF64" i="1"/>
  <c r="AF103" i="1"/>
  <c r="AF29" i="1"/>
  <c r="AF240" i="1"/>
  <c r="AF218" i="1"/>
  <c r="AF147" i="1"/>
  <c r="AF158" i="1"/>
  <c r="AF168" i="1"/>
  <c r="AF178" i="1"/>
  <c r="AF188" i="1"/>
  <c r="AF198" i="1"/>
  <c r="AF61" i="1"/>
  <c r="AF94" i="1"/>
  <c r="AF238" i="1"/>
  <c r="AF195" i="1"/>
  <c r="AF206" i="1"/>
  <c r="AF26" i="1"/>
  <c r="AF105" i="1"/>
  <c r="AF115" i="1"/>
  <c r="AF242" i="1"/>
  <c r="AF54" i="1"/>
  <c r="AF68" i="1"/>
  <c r="AF222" i="1"/>
  <c r="AF132" i="1"/>
  <c r="AF142" i="1"/>
  <c r="AF150" i="1"/>
  <c r="AF172" i="1"/>
  <c r="AF192" i="1"/>
  <c r="AF203" i="1"/>
  <c r="AF65" i="1"/>
  <c r="AF219" i="1"/>
  <c r="AF243" i="1"/>
  <c r="AF155" i="1"/>
  <c r="AF159" i="1"/>
  <c r="AF169" i="1"/>
  <c r="AF179" i="1"/>
  <c r="AF189" i="1"/>
  <c r="AF151" i="1"/>
  <c r="AF62" i="1"/>
  <c r="AF45" i="1"/>
  <c r="AF135" i="1"/>
  <c r="AF175" i="1"/>
  <c r="AF40" i="1"/>
  <c r="AF101" i="1"/>
  <c r="AF119" i="1"/>
  <c r="AF14" i="1"/>
  <c r="AF177" i="1"/>
  <c r="AF157" i="1"/>
  <c r="AF224" i="1"/>
  <c r="AF43" i="1"/>
  <c r="AF104" i="1"/>
  <c r="AF216" i="1"/>
  <c r="AF239" i="1"/>
  <c r="AF23" i="1"/>
  <c r="AF27" i="1"/>
  <c r="AF136" i="1"/>
  <c r="AF145" i="1"/>
  <c r="AF176" i="1"/>
  <c r="AF196" i="1"/>
  <c r="AF207" i="1"/>
  <c r="AF69" i="1"/>
  <c r="AF197" i="1"/>
  <c r="AF67" i="1"/>
  <c r="AF30" i="1"/>
  <c r="AF121" i="1"/>
  <c r="AF106" i="1"/>
  <c r="AF116" i="1"/>
  <c r="AF123" i="1"/>
  <c r="AF55" i="1"/>
  <c r="AF156" i="1"/>
  <c r="AF37" i="1"/>
  <c r="AF41" i="1"/>
  <c r="AF38" i="1"/>
  <c r="AF42" i="1"/>
  <c r="AF39" i="1"/>
  <c r="AM72" i="1"/>
  <c r="AF72" i="1"/>
  <c r="AF33" i="1"/>
  <c r="AQ33" i="1"/>
  <c r="AQ72" i="1"/>
  <c r="B14" i="3"/>
  <c r="C14" i="3" s="1"/>
  <c r="H1" i="3" s="1"/>
  <c r="H2" i="3" s="1"/>
  <c r="C8" i="3" s="1"/>
  <c r="G1" i="3" s="1"/>
  <c r="G2" i="3" s="1"/>
  <c r="B8" i="3" s="1"/>
  <c r="AM94" i="1"/>
  <c r="AQ94" i="1"/>
  <c r="AM93" i="1"/>
  <c r="AF93" i="1"/>
  <c r="AQ93" i="1"/>
  <c r="AF153" i="1"/>
  <c r="AQ153" i="1"/>
  <c r="AM153" i="1"/>
  <c r="AF13" i="1"/>
  <c r="AQ13" i="1"/>
  <c r="AM13" i="1"/>
  <c r="AQ92" i="1"/>
  <c r="AF92" i="1"/>
  <c r="AM92" i="1"/>
  <c r="AM91" i="1"/>
  <c r="AQ91" i="1"/>
  <c r="AF91" i="1"/>
  <c r="AQ152" i="1"/>
  <c r="AM152" i="1"/>
  <c r="AF152" i="1"/>
  <c r="AM90" i="1"/>
  <c r="AF90" i="1"/>
  <c r="AQ90" i="1"/>
  <c r="AQ89" i="1"/>
  <c r="AF89" i="1"/>
  <c r="AM89" i="1"/>
  <c r="AF12" i="1"/>
  <c r="AM12" i="1"/>
  <c r="AQ12" i="1"/>
  <c r="AM210" i="1"/>
  <c r="AF210" i="1"/>
  <c r="AQ210" i="1"/>
  <c r="AM209" i="1"/>
  <c r="AF209" i="1"/>
  <c r="AQ209" i="1"/>
  <c r="AF208" i="1"/>
  <c r="AQ208" i="1"/>
  <c r="AM208" i="1"/>
  <c r="AF11" i="1"/>
  <c r="AM11" i="1"/>
  <c r="AQ11" i="1"/>
  <c r="AM10" i="1"/>
  <c r="AF10" i="1"/>
  <c r="AQ10" i="1"/>
  <c r="AQ9" i="1"/>
  <c r="AM9" i="1"/>
  <c r="AF9" i="1"/>
  <c r="AF8" i="1"/>
  <c r="AQ8" i="1"/>
  <c r="AM8" i="1"/>
  <c r="AQ7" i="1"/>
  <c r="AF7" i="1"/>
  <c r="AM7" i="1"/>
  <c r="AM6" i="1"/>
  <c r="AF6" i="1"/>
  <c r="AQ6" i="1"/>
  <c r="AM5" i="1"/>
  <c r="AF5" i="1"/>
  <c r="AQ5" i="1"/>
  <c r="AM4" i="1"/>
  <c r="AF4" i="1"/>
  <c r="AQ4" i="1"/>
  <c r="AM58" i="1"/>
  <c r="AF58" i="1"/>
  <c r="AQ58" i="1"/>
  <c r="AM3" i="1"/>
  <c r="AF3" i="1"/>
  <c r="AQ3" i="1"/>
  <c r="AM2" i="1"/>
  <c r="AQ2" i="1"/>
  <c r="AF2" i="1"/>
  <c r="AF88" i="1"/>
  <c r="AQ88" i="1"/>
  <c r="AM88" i="1"/>
  <c r="AF87" i="1"/>
  <c r="AM87" i="1"/>
  <c r="AQ87" i="1"/>
  <c r="AQ86" i="1"/>
  <c r="AF86" i="1"/>
  <c r="AM86" i="1"/>
  <c r="AQ85" i="1"/>
  <c r="AM85" i="1"/>
  <c r="AF85" i="1"/>
  <c r="AF84" i="1"/>
  <c r="AM84" i="1"/>
  <c r="AQ84" i="1"/>
  <c r="AF83" i="1"/>
  <c r="AM83" i="1"/>
  <c r="AQ83" i="1"/>
  <c r="AM82" i="1"/>
  <c r="AQ82" i="1"/>
  <c r="AF82" i="1"/>
  <c r="AM81" i="1"/>
  <c r="AQ81" i="1"/>
  <c r="AF81" i="1"/>
  <c r="AF80" i="1"/>
  <c r="AM80" i="1"/>
  <c r="AQ80" i="1"/>
  <c r="AF79" i="1"/>
  <c r="AM79" i="1"/>
  <c r="AQ79" i="1"/>
  <c r="AM78" i="1"/>
  <c r="AF78" i="1"/>
  <c r="AQ78" i="1"/>
  <c r="AM77" i="1"/>
  <c r="AQ77" i="1"/>
  <c r="AF77" i="1"/>
  <c r="AM76" i="1"/>
  <c r="AF76" i="1"/>
  <c r="AQ76" i="1"/>
  <c r="AQ75" i="1"/>
  <c r="AF75" i="1"/>
  <c r="AM75" i="1"/>
  <c r="AF74" i="1"/>
  <c r="AQ74" i="1"/>
  <c r="AM74" i="1"/>
  <c r="AQ73" i="1"/>
  <c r="AM73" i="1"/>
  <c r="B17" i="3"/>
  <c r="AF73" i="1"/>
  <c r="AM71" i="1"/>
  <c r="AQ71" i="1"/>
  <c r="AM70" i="1"/>
  <c r="AQ70" i="1"/>
  <c r="AQ69" i="1"/>
  <c r="AM69" i="1"/>
  <c r="AM68" i="1"/>
  <c r="AQ68" i="1"/>
  <c r="AM67" i="1"/>
  <c r="AQ67" i="1"/>
  <c r="AM66" i="1"/>
  <c r="AQ66" i="1"/>
  <c r="AQ65" i="1"/>
  <c r="AM65" i="1"/>
  <c r="AQ64" i="1"/>
  <c r="AM64" i="1"/>
  <c r="AM63" i="1"/>
  <c r="AQ63" i="1"/>
  <c r="AM62" i="1"/>
  <c r="AQ62" i="1"/>
  <c r="AQ61" i="1"/>
  <c r="AM61" i="1"/>
  <c r="AM60" i="1"/>
  <c r="AQ60" i="1"/>
  <c r="AQ207" i="1"/>
  <c r="AM207" i="1"/>
  <c r="AQ206" i="1"/>
  <c r="AM206" i="1"/>
  <c r="AQ205" i="1"/>
  <c r="AM205" i="1"/>
  <c r="AM204" i="1"/>
  <c r="AQ204" i="1"/>
  <c r="AM203" i="1"/>
  <c r="AQ203" i="1"/>
  <c r="AM202" i="1"/>
  <c r="AQ202" i="1"/>
  <c r="AM201" i="1"/>
  <c r="AQ201" i="1"/>
  <c r="AQ200" i="1"/>
  <c r="AM200" i="1"/>
  <c r="AQ199" i="1"/>
  <c r="AM199" i="1"/>
  <c r="AQ59" i="1"/>
  <c r="AM59" i="1"/>
  <c r="AQ151" i="1"/>
  <c r="AM151" i="1"/>
  <c r="AQ198" i="1"/>
  <c r="AM198" i="1"/>
  <c r="AQ197" i="1"/>
  <c r="AM197" i="1"/>
  <c r="AQ196" i="1"/>
  <c r="AM196" i="1"/>
  <c r="AQ195" i="1"/>
  <c r="AM195" i="1"/>
  <c r="AQ194" i="1"/>
  <c r="AM194" i="1"/>
  <c r="AQ193" i="1"/>
  <c r="AM193" i="1"/>
  <c r="AQ192" i="1"/>
  <c r="AM192" i="1"/>
  <c r="AQ191" i="1"/>
  <c r="AM191" i="1"/>
  <c r="AQ190" i="1"/>
  <c r="AM190" i="1"/>
  <c r="AQ189" i="1"/>
  <c r="AM189" i="1"/>
  <c r="AQ188" i="1"/>
  <c r="AM188" i="1"/>
  <c r="AQ187" i="1"/>
  <c r="AM187" i="1"/>
  <c r="AQ186" i="1"/>
  <c r="AM186" i="1"/>
  <c r="AQ185" i="1"/>
  <c r="AM185" i="1"/>
  <c r="AQ184" i="1"/>
  <c r="AM184" i="1"/>
  <c r="AQ183" i="1"/>
  <c r="AM183" i="1"/>
  <c r="AQ182" i="1"/>
  <c r="AM182" i="1"/>
  <c r="AQ181" i="1"/>
  <c r="AM181" i="1"/>
  <c r="AQ180" i="1"/>
  <c r="AM180" i="1"/>
  <c r="AQ179" i="1"/>
  <c r="AM179" i="1"/>
  <c r="AQ178" i="1"/>
  <c r="AM178" i="1"/>
  <c r="AQ177" i="1"/>
  <c r="AM177" i="1"/>
  <c r="AQ176" i="1"/>
  <c r="AM176" i="1"/>
  <c r="AQ175" i="1"/>
  <c r="AM175" i="1"/>
  <c r="AQ174" i="1"/>
  <c r="AM174" i="1"/>
  <c r="AQ173" i="1"/>
  <c r="AM173" i="1"/>
  <c r="AQ172" i="1"/>
  <c r="AM172" i="1"/>
  <c r="AQ171" i="1"/>
  <c r="AM171" i="1"/>
  <c r="AQ170" i="1"/>
  <c r="AM170" i="1"/>
  <c r="AQ169" i="1"/>
  <c r="AM169" i="1"/>
  <c r="AQ168" i="1"/>
  <c r="AM168" i="1"/>
  <c r="AQ167" i="1"/>
  <c r="AM167" i="1"/>
  <c r="AQ166" i="1"/>
  <c r="AM166" i="1"/>
  <c r="AQ165" i="1"/>
  <c r="AM165" i="1"/>
  <c r="AQ164" i="1"/>
  <c r="AM164" i="1"/>
  <c r="AQ163" i="1"/>
  <c r="AM163" i="1"/>
  <c r="AF163" i="1"/>
  <c r="AM162" i="1"/>
  <c r="AQ162" i="1"/>
  <c r="AQ161" i="1"/>
  <c r="AM161" i="1"/>
  <c r="AQ160" i="1"/>
  <c r="AM160" i="1"/>
  <c r="AQ159" i="1"/>
  <c r="AM159" i="1"/>
  <c r="AQ158" i="1"/>
  <c r="AM158" i="1"/>
  <c r="AQ157" i="1"/>
  <c r="AM157" i="1"/>
  <c r="AQ156" i="1"/>
  <c r="AM156" i="1"/>
  <c r="AQ150" i="1"/>
  <c r="AM150" i="1"/>
  <c r="AQ149" i="1"/>
  <c r="AM149" i="1"/>
  <c r="AQ148" i="1"/>
  <c r="AM148" i="1"/>
  <c r="AQ155" i="1"/>
  <c r="AM155" i="1"/>
  <c r="AQ147" i="1"/>
  <c r="AM147" i="1"/>
  <c r="AQ146" i="1"/>
  <c r="AM146" i="1"/>
  <c r="AM145" i="1"/>
  <c r="AQ145" i="1"/>
  <c r="AM154" i="1"/>
  <c r="AQ154" i="1"/>
  <c r="AQ144" i="1"/>
  <c r="AM144" i="1"/>
  <c r="AQ143" i="1"/>
  <c r="AM143" i="1"/>
  <c r="AQ142" i="1"/>
  <c r="AM142" i="1"/>
  <c r="AQ141" i="1"/>
  <c r="AM141" i="1"/>
  <c r="AQ140" i="1"/>
  <c r="AM140" i="1"/>
  <c r="AQ139" i="1"/>
  <c r="AM139" i="1"/>
  <c r="AM138" i="1"/>
  <c r="AQ138" i="1"/>
  <c r="AQ137" i="1"/>
  <c r="AM137" i="1"/>
  <c r="AM136" i="1"/>
  <c r="AQ136" i="1"/>
  <c r="AQ135" i="1"/>
  <c r="AM135" i="1"/>
  <c r="AQ134" i="1"/>
  <c r="AM134" i="1"/>
  <c r="AQ133" i="1"/>
  <c r="AM133" i="1"/>
  <c r="AM132" i="1"/>
  <c r="AQ132" i="1"/>
  <c r="AQ131" i="1"/>
  <c r="AM131" i="1"/>
  <c r="AQ130" i="1"/>
  <c r="AM130" i="1"/>
  <c r="AQ243" i="1"/>
  <c r="AM243" i="1"/>
  <c r="AM57" i="1"/>
  <c r="AQ56" i="1"/>
  <c r="AM56" i="1"/>
  <c r="AQ55" i="1"/>
  <c r="AM55" i="1"/>
  <c r="AQ54" i="1"/>
  <c r="AM54" i="1"/>
  <c r="AM53" i="1"/>
  <c r="AQ53" i="1"/>
  <c r="AQ52" i="1"/>
  <c r="AM52" i="1"/>
  <c r="AQ129" i="1"/>
  <c r="AM129" i="1"/>
  <c r="AM128" i="1"/>
  <c r="AQ128" i="1"/>
  <c r="AQ127" i="1"/>
  <c r="AM127" i="1"/>
  <c r="AQ126" i="1"/>
  <c r="AM126" i="1"/>
  <c r="AQ125" i="1"/>
  <c r="AM125" i="1"/>
  <c r="AM124" i="1"/>
  <c r="AQ124" i="1"/>
  <c r="AM123" i="1"/>
  <c r="AQ123" i="1"/>
  <c r="AQ242" i="1"/>
  <c r="AM242" i="1"/>
  <c r="AQ241" i="1"/>
  <c r="AM241" i="1"/>
  <c r="AQ122" i="1"/>
  <c r="AM122" i="1"/>
  <c r="AM121" i="1"/>
  <c r="AQ121" i="1"/>
  <c r="AM240" i="1"/>
  <c r="AQ240" i="1"/>
  <c r="AQ120" i="1"/>
  <c r="AM120" i="1"/>
  <c r="AM119" i="1"/>
  <c r="AQ119" i="1"/>
  <c r="AQ118" i="1"/>
  <c r="AM118" i="1"/>
  <c r="AM117" i="1"/>
  <c r="AQ117" i="1"/>
  <c r="AQ116" i="1"/>
  <c r="AM116" i="1"/>
  <c r="AQ115" i="1"/>
  <c r="AM115" i="1"/>
  <c r="AQ114" i="1"/>
  <c r="AM114" i="1"/>
  <c r="AQ113" i="1"/>
  <c r="AM113" i="1"/>
  <c r="AQ112" i="1"/>
  <c r="AM112" i="1"/>
  <c r="AM111" i="1"/>
  <c r="AQ111" i="1"/>
  <c r="AM110" i="1"/>
  <c r="AQ110" i="1"/>
  <c r="AQ109" i="1"/>
  <c r="AM109" i="1"/>
  <c r="AM108" i="1"/>
  <c r="AQ108" i="1"/>
  <c r="AM107" i="1"/>
  <c r="AQ107" i="1"/>
  <c r="AQ106" i="1"/>
  <c r="AM106" i="1"/>
  <c r="AQ105" i="1"/>
  <c r="AM105" i="1"/>
  <c r="AM32" i="1"/>
  <c r="AQ32" i="1"/>
  <c r="AQ31" i="1"/>
  <c r="AM31" i="1"/>
  <c r="AM30" i="1"/>
  <c r="AQ30" i="1"/>
  <c r="AQ29" i="1"/>
  <c r="AM29" i="1"/>
  <c r="AQ28" i="1"/>
  <c r="AM28" i="1"/>
  <c r="AQ27" i="1"/>
  <c r="AM27" i="1"/>
  <c r="AQ26" i="1"/>
  <c r="AM26" i="1"/>
  <c r="AM25" i="1"/>
  <c r="AQ25" i="1"/>
  <c r="AQ24" i="1"/>
  <c r="AM24" i="1"/>
  <c r="AQ23" i="1"/>
  <c r="AM23" i="1"/>
  <c r="AM22" i="1"/>
  <c r="AQ22" i="1"/>
  <c r="AM21" i="1"/>
  <c r="AQ21" i="1"/>
  <c r="AQ20" i="1"/>
  <c r="AM20" i="1"/>
  <c r="AM19" i="1"/>
  <c r="AQ19" i="1"/>
  <c r="AM18" i="1"/>
  <c r="AQ18" i="1"/>
  <c r="AM17" i="1"/>
  <c r="AQ17" i="1"/>
  <c r="AM16" i="1"/>
  <c r="AQ16" i="1"/>
  <c r="AM15" i="1"/>
  <c r="AQ15" i="1"/>
  <c r="AM14" i="1"/>
  <c r="AQ14" i="1"/>
  <c r="AM239" i="1"/>
  <c r="AQ239" i="1"/>
  <c r="AQ238" i="1"/>
  <c r="AM238" i="1"/>
  <c r="AM237" i="1"/>
  <c r="AQ237" i="1"/>
  <c r="AM236" i="1"/>
  <c r="AQ236" i="1"/>
  <c r="AM104" i="1"/>
  <c r="AQ104" i="1"/>
  <c r="AM103" i="1"/>
  <c r="AQ103" i="1"/>
  <c r="AM102" i="1"/>
  <c r="AQ102" i="1"/>
  <c r="AM101" i="1"/>
  <c r="AQ101" i="1"/>
  <c r="AM235" i="1"/>
  <c r="AQ235" i="1"/>
  <c r="AM234" i="1"/>
  <c r="AQ234" i="1"/>
  <c r="AQ233" i="1"/>
  <c r="AM233" i="1"/>
  <c r="AM232" i="1"/>
  <c r="AQ232" i="1"/>
  <c r="AM231" i="1"/>
  <c r="AQ231" i="1"/>
  <c r="AQ230" i="1"/>
  <c r="AM230" i="1"/>
  <c r="AQ229" i="1"/>
  <c r="AM229" i="1"/>
  <c r="AQ228" i="1"/>
  <c r="AM228" i="1"/>
  <c r="AQ227" i="1"/>
  <c r="AM227" i="1"/>
  <c r="AM226" i="1"/>
  <c r="AQ226" i="1"/>
  <c r="AQ225" i="1"/>
  <c r="AM225" i="1"/>
  <c r="AM224" i="1"/>
  <c r="AQ224" i="1"/>
  <c r="AM223" i="1"/>
  <c r="AQ223" i="1"/>
  <c r="AQ222" i="1"/>
  <c r="AM222" i="1"/>
  <c r="AQ221" i="1"/>
  <c r="AM221" i="1"/>
  <c r="AQ220" i="1"/>
  <c r="AM220" i="1"/>
  <c r="AQ219" i="1"/>
  <c r="AM219" i="1"/>
  <c r="AQ218" i="1"/>
  <c r="AM218" i="1"/>
  <c r="AQ217" i="1"/>
  <c r="AM217" i="1"/>
  <c r="AQ216" i="1"/>
  <c r="AM216" i="1"/>
  <c r="AQ215" i="1"/>
  <c r="AM215" i="1"/>
  <c r="AM214" i="1"/>
  <c r="AQ214" i="1"/>
  <c r="AM213" i="1"/>
  <c r="AF213" i="1"/>
  <c r="AQ213" i="1"/>
  <c r="AF212" i="1"/>
  <c r="AM212" i="1"/>
  <c r="AQ212" i="1"/>
  <c r="AF211" i="1"/>
  <c r="AQ211" i="1"/>
  <c r="AM211" i="1"/>
  <c r="AF51" i="1"/>
  <c r="AQ51" i="1"/>
  <c r="AM51" i="1"/>
  <c r="AF50" i="1"/>
  <c r="AM50" i="1"/>
  <c r="AQ50" i="1"/>
  <c r="AQ49" i="1"/>
  <c r="AM49" i="1"/>
  <c r="AM48" i="1"/>
  <c r="AQ48" i="1"/>
  <c r="AQ47" i="1"/>
  <c r="AM47" i="1"/>
  <c r="AM46" i="1"/>
  <c r="AQ46" i="1"/>
  <c r="AQ45" i="1"/>
  <c r="AM45" i="1"/>
  <c r="AQ44" i="1"/>
  <c r="AM44" i="1"/>
  <c r="AM43" i="1"/>
  <c r="AQ43" i="1"/>
  <c r="AQ42" i="1"/>
  <c r="AM42" i="1"/>
  <c r="AQ41" i="1"/>
  <c r="AM41" i="1"/>
  <c r="AM40" i="1"/>
  <c r="AQ40" i="1"/>
  <c r="AM39" i="1"/>
  <c r="AQ39" i="1"/>
  <c r="AM38" i="1"/>
  <c r="AQ38" i="1"/>
  <c r="AM37" i="1"/>
  <c r="AQ37" i="1"/>
  <c r="AQ36" i="1"/>
  <c r="AM36" i="1"/>
  <c r="AQ100" i="1"/>
  <c r="AM100" i="1"/>
  <c r="AQ99" i="1"/>
  <c r="AM99" i="1"/>
  <c r="AQ98" i="1"/>
  <c r="AM98" i="1"/>
  <c r="AQ97" i="1"/>
  <c r="AM97" i="1"/>
  <c r="AQ96" i="1"/>
  <c r="AM96" i="1"/>
  <c r="AQ95" i="1"/>
  <c r="AM95" i="1"/>
  <c r="AQ35" i="1"/>
  <c r="AM35" i="1"/>
  <c r="AM34" i="1"/>
  <c r="AQ34" i="1"/>
  <c r="AM33" i="1"/>
  <c r="M78" i="3" l="1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B12" authorId="0" shapeId="0" xr:uid="{09431BDC-C726-40EE-9C53-246664E5F8C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DA INFRAURB (RAMON)
</t>
        </r>
      </text>
    </comment>
    <comment ref="V12" authorId="0" shapeId="0" xr:uid="{BD4C8BCC-5479-40D4-A436-519D6076C7A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B12" authorId="0" shapeId="0" xr:uid="{9197DC5E-900A-479E-80A7-AECA03F3B8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C12" authorId="0" shapeId="0" xr:uid="{C8830282-86CA-4F41-8337-2430E22900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390.020</t>
        </r>
      </text>
    </comment>
    <comment ref="AI12" authorId="0" shapeId="0" xr:uid="{275A53BC-7C40-4D22-9FF7-782608E45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300</t>
        </r>
      </text>
    </comment>
    <comment ref="AJ12" authorId="0" shapeId="0" xr:uid="{CE734E69-885C-4E7D-B074-5F73F1295C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1.300</t>
        </r>
      </text>
    </comment>
    <comment ref="AI16" authorId="0" shapeId="0" xr:uid="{0FD269F3-0690-4E97-8348-6A36C8203F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I17" authorId="0" shapeId="0" xr:uid="{F56DA1CC-4261-4852-A246-7B3F66AC7B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18" authorId="0" shapeId="0" xr:uid="{75B5BDED-DBBF-4EEB-9EE9-406416F38F1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19" authorId="0" shapeId="0" xr:uid="{DC659D9E-4FEB-409D-B570-3A194385B78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C24" authorId="0" shapeId="0" xr:uid="{396DC668-D347-43EB-A6FF-FF7044E586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22.000</t>
        </r>
      </text>
    </comment>
    <comment ref="AI24" authorId="0" shapeId="0" xr:uid="{1F25B37C-917E-4153-9C9A-2BE187AD24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4" authorId="0" shapeId="0" xr:uid="{E80CEA6D-779B-422B-A73C-647952654D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4" authorId="0" shapeId="0" xr:uid="{39B25E71-7E5F-4196-BE2F-1244DF5162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113.203</t>
        </r>
      </text>
    </comment>
    <comment ref="AC25" authorId="0" shapeId="0" xr:uid="{C938C0F0-D6FE-40AA-8C06-33F231CB992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19.500</t>
        </r>
      </text>
    </comment>
    <comment ref="AI25" authorId="0" shapeId="0" xr:uid="{A2E8B781-89D0-4F51-9779-1D071D7D4C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5" authorId="0" shapeId="0" xr:uid="{6A05AA0E-98BB-48E1-8545-27E1C3C1267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5" authorId="0" shapeId="0" xr:uid="{1D281500-EEB5-4BA3-A5C1-9F79B3D461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6" authorId="0" shapeId="0" xr:uid="{F0C6A385-02B8-41CA-8169-E27BBDBF09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186.732</t>
        </r>
      </text>
    </comment>
    <comment ref="AI26" authorId="0" shapeId="0" xr:uid="{03AFF144-1DCD-4162-A551-0382C7A34A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6" authorId="0" shapeId="0" xr:uid="{3140D8D1-FDD4-4CE5-8268-DB9DEFF4C3C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6" authorId="0" shapeId="0" xr:uid="{34B2DA3F-CEE8-4998-B9EF-C5325378F5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7" authorId="0" shapeId="0" xr:uid="{0B1AE9CC-EE89-4009-B28B-183051C261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7" authorId="0" shapeId="0" xr:uid="{4F8EE899-27AB-40D8-85C7-25A3A61B71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7" authorId="0" shapeId="0" xr:uid="{6492AF3B-DE83-44EE-92B2-667CFF4F0CC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7" authorId="0" shapeId="0" xr:uid="{D6FDFDBC-F266-4970-86E9-98F35BF0D5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C28" authorId="0" shapeId="0" xr:uid="{84821BB7-D993-45B6-BBA2-ADD3AF59BD9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8" authorId="0" shapeId="0" xr:uid="{7E777AB3-E7B4-4C23-B7F8-A2AA436262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8" authorId="0" shapeId="0" xr:uid="{8C2CF8F0-D054-435C-9519-DBF790CBB7E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8" authorId="0" shapeId="0" xr:uid="{30B39196-9C0A-4B25-9A86-66969334AE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S32" authorId="0" shapeId="0" xr:uid="{E744649A-CE9F-4BBE-A1BF-D19FFEAE95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I38" authorId="0" shapeId="0" xr:uid="{3B5AFF47-C280-4E39-AB1B-C6D2EB60F62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J38" authorId="0" shapeId="0" xr:uid="{2FF434B3-DAF4-48F3-A5DE-10AB43190F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I39" authorId="0" shapeId="0" xr:uid="{2F8908EF-DE89-4FA7-B46D-D26F074DBE4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259</t>
        </r>
      </text>
    </comment>
    <comment ref="AJ39" authorId="0" shapeId="0" xr:uid="{CE499E00-E566-4EAE-911B-8BE3882BB28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C60" authorId="0" shapeId="0" xr:uid="{B6FAD66D-8C7D-46F1-90B7-60B016B275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
</t>
        </r>
      </text>
    </comment>
    <comment ref="AI60" authorId="0" shapeId="0" xr:uid="{CA9348DE-BEDB-4599-9303-CD2D0A79AC4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0" authorId="0" shapeId="0" xr:uid="{4BC5CE2D-9C75-4B3F-9E98-10C7A3E529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C61" authorId="0" shapeId="0" xr:uid="{25EC11C3-5E7A-4C8C-848F-32085FDBD87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</t>
        </r>
      </text>
    </comment>
    <comment ref="AI61" authorId="0" shapeId="0" xr:uid="{A8B73624-009E-46FF-89C5-CD998ED467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1" authorId="0" shapeId="0" xr:uid="{382B4EC9-106E-4E3E-AE0E-7FBCC2B1DA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N62" authorId="0" shapeId="0" xr:uid="{B0577FC8-B766-476A-8460-E4657300B7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3" authorId="0" shapeId="0" xr:uid="{2B0A4721-032E-4DD4-B2CE-40BBBE2DB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4" authorId="0" shapeId="0" xr:uid="{63AF587C-48AC-4F8A-B8F1-C0271D31D2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5" authorId="0" shapeId="0" xr:uid="{5F330CA9-2C3E-48B1-9684-70B68C6451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6" authorId="0" shapeId="0" xr:uid="{C471EB6C-9A43-486C-B609-9B90D065C78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7" authorId="0" shapeId="0" xr:uid="{CF8E21DC-1C2F-4C57-BE1C-038D73D384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8" authorId="0" shapeId="0" xr:uid="{BFE3F5D9-C2CC-4D52-AF53-89428D8EAC4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9" authorId="0" shapeId="0" xr:uid="{FBB3F702-B8F5-4514-BD69-BD073E0D9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C70" authorId="0" shapeId="0" xr:uid="{89858942-B14A-4B22-B46A-9CA2AFDB5E2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0" authorId="0" shapeId="0" xr:uid="{09C0963F-2291-4881-8A6B-57F02C9ED9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235</t>
        </r>
      </text>
    </comment>
    <comment ref="AK70" authorId="0" shapeId="0" xr:uid="{F8397D49-A8C1-4CAB-BBFF-0641C736FA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0" authorId="0" shapeId="0" xr:uid="{E8514476-F654-4FE8-AB6B-2955443AAE5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117.604</t>
        </r>
      </text>
    </comment>
    <comment ref="AC71" authorId="0" shapeId="0" xr:uid="{B97E80DF-58BE-4045-9CEA-CFDB7C49BD3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1" authorId="0" shapeId="0" xr:uid="{660999A7-9EA1-44BB-82BE-6F191F53A31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K71" authorId="0" shapeId="0" xr:uid="{EE308983-5E2A-4595-A054-81B2FC27958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1" authorId="0" shapeId="0" xr:uid="{F4AAF5B9-DF05-4557-BBFA-DB6DE07928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117.767</t>
        </r>
      </text>
    </comment>
    <comment ref="AC72" authorId="0" shapeId="0" xr:uid="{B2A019D0-A6E0-46DB-BF6A-CF4BF7C5AC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240.277</t>
        </r>
      </text>
    </comment>
    <comment ref="AI72" authorId="0" shapeId="0" xr:uid="{7DEAD820-7844-44C7-8ADB-D4C0A000F7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K72" authorId="0" shapeId="0" xr:uid="{837240D6-98C3-4DAC-A08A-027ED2C83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2" authorId="0" shapeId="0" xr:uid="{96110B2E-0FD7-418B-941B-02D654F704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107.267</t>
        </r>
      </text>
    </comment>
    <comment ref="AC73" authorId="0" shapeId="0" xr:uid="{495DB87A-4D4F-4417-A871-FED727865E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222.525</t>
        </r>
      </text>
    </comment>
    <comment ref="AI73" authorId="0" shapeId="0" xr:uid="{B958F7FE-9A34-42FB-984E-01A433554DB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J73" authorId="0" shapeId="0" xr:uid="{9AD0829B-CBF8-450D-830D-CD7FEAD0869D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1.378 
na planilha do Zefera é 1.035</t>
        </r>
      </text>
    </comment>
    <comment ref="AK73" authorId="0" shapeId="0" xr:uid="{FEA0416D-8261-4629-B3B8-76E78699729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3" authorId="0" shapeId="0" xr:uid="{0F3E7E15-539A-48AD-A2E4-388C336C13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107.500</t>
        </r>
      </text>
    </comment>
    <comment ref="L74" authorId="0" shapeId="0" xr:uid="{D1BD0FFD-A3FD-4285-8F62-1BFA26750D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Tangará da Serra na planilha de Zefera tem uma área para o Residencial Parque Jardim. As informações não batem com essa planilha.</t>
        </r>
      </text>
    </comment>
    <comment ref="AI74" authorId="0" shapeId="0" xr:uid="{C5BE1956-48A6-48F6-8A53-870E12049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4" authorId="0" shapeId="0" xr:uid="{719AFBCB-A1CE-4792-AFC2-EA0785B44E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918</t>
        </r>
      </text>
    </comment>
    <comment ref="AI75" authorId="0" shapeId="0" xr:uid="{0D31C0EF-4DAE-417E-8D41-9666C09BA6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5" authorId="0" shapeId="0" xr:uid="{DE39985A-C981-4856-A3D0-726F030B59A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917</t>
        </r>
      </text>
    </comment>
    <comment ref="AC83" authorId="0" shapeId="0" xr:uid="{44B8E681-5D24-470F-9F44-0C17C46BA0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271.959</t>
        </r>
      </text>
    </comment>
    <comment ref="AJ83" authorId="0" shapeId="0" xr:uid="{098B79E8-D280-435B-9310-3E9412AC973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ates estava 835 na planilha do Zefera é 755</t>
        </r>
      </text>
    </comment>
    <comment ref="AK83" authorId="0" shapeId="0" xr:uid="{41C2EDAF-73DF-4C68-AF1C-DC4907EB24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1.500</t>
        </r>
      </text>
    </comment>
    <comment ref="AN83" authorId="0" shapeId="0" xr:uid="{EC768AA2-1271-4132-B4D9-C90A9D65C6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540.316
</t>
        </r>
      </text>
    </comment>
    <comment ref="AC84" authorId="0" shapeId="0" xr:uid="{DCDCF6ED-972E-4037-9AEC-593000B12BE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226.990</t>
        </r>
      </text>
    </comment>
    <comment ref="AI84" authorId="0" shapeId="0" xr:uid="{F0F45C97-67DF-4F4E-A150-3B18AEFD6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219</t>
        </r>
      </text>
    </comment>
    <comment ref="AK84" authorId="0" shapeId="0" xr:uid="{7E9A7101-96AF-4D5C-A590-9C92029A1C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4" authorId="0" shapeId="0" xr:uid="{9591FE1D-9B20-4A9A-9F6C-7F9A820F254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109.657</t>
        </r>
      </text>
    </comment>
    <comment ref="AC85" authorId="0" shapeId="0" xr:uid="{CF47C7AA-99CD-42D3-B403-C3B72DC978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85" authorId="0" shapeId="0" xr:uid="{5A0654E2-8D4A-408A-BFA3-9B16D99836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85" authorId="0" shapeId="0" xr:uid="{EE81DEAC-F21F-42BD-9CA5-39C9DAA68F1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85" authorId="0" shapeId="0" xr:uid="{42112C8C-1BC7-4B06-8B27-809CC41DA7F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5" authorId="0" shapeId="0" xr:uid="{A507FECD-5A82-4897-A1D1-4C4426AA70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C86" authorId="0" shapeId="0" xr:uid="{BE674A48-5F63-40C4-9D29-1454841D12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328.198</t>
        </r>
      </text>
    </comment>
    <comment ref="AI86" authorId="0" shapeId="0" xr:uid="{1E091FA5-451B-413C-9387-B25EE564DA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253</t>
        </r>
      </text>
    </comment>
    <comment ref="AJ86" authorId="0" shapeId="0" xr:uid="{402275D9-8391-4FD0-BC4E-423413CCC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1.304</t>
        </r>
      </text>
    </comment>
    <comment ref="AK86" authorId="0" shapeId="0" xr:uid="{D8155254-CFAD-4B10-A6E8-9D9CE4EBB76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430</t>
        </r>
      </text>
    </comment>
    <comment ref="AN86" authorId="0" shapeId="0" xr:uid="{5B2EA765-DB87-4B9B-AD72-93546CD5CC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107.225</t>
        </r>
      </text>
    </comment>
    <comment ref="AI113" authorId="0" shapeId="0" xr:uid="{C12CC61E-AD39-4E2C-8654-8DC868295C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J113" authorId="0" shapeId="0" xr:uid="{A53B0A96-E2E3-4F98-9A07-3B1CDCA42D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AJ145" authorId="0" shapeId="0" xr:uid="{54564007-E7C3-43B4-9BDB-EB251BA8F7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C156" authorId="0" shapeId="0" xr:uid="{D9E6F80A-A8D5-4EBB-B128-5142EAC01E1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130.187</t>
        </r>
      </text>
    </comment>
    <comment ref="AI156" authorId="0" shapeId="0" xr:uid="{CF2E85D7-9058-4D81-A3EC-4E5E0898567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J156" authorId="0" shapeId="0" xr:uid="{143A7C47-FF30-49A4-B13F-168291710E4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592</t>
        </r>
      </text>
    </comment>
    <comment ref="AK156" authorId="0" shapeId="0" xr:uid="{7D7D2CDD-F7FC-46C8-AC11-CDC3475082D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6" authorId="0" shapeId="0" xr:uid="{5DF3C658-1FFD-4638-A6A4-870E67B5F9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120.951</t>
        </r>
      </text>
    </comment>
    <comment ref="AK157" authorId="0" shapeId="0" xr:uid="{CE1CCA6D-D064-45CF-A186-0F0CFBAFC3ED}">
      <text>
        <r>
          <rPr>
            <b/>
            <sz val="9"/>
            <color indexed="81"/>
            <rFont val="Segoe UI"/>
            <family val="2"/>
          </rPr>
          <t>Erick Robert Coelho Pinto
antes 550</t>
        </r>
      </text>
    </comment>
    <comment ref="AN157" authorId="0" shapeId="0" xr:uid="{0BB28901-DECE-4145-BF0D-79B9816B05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120.953</t>
        </r>
      </text>
    </comment>
    <comment ref="AC158" authorId="0" shapeId="0" xr:uid="{4FB6EE78-2904-433F-9BA7-AC19717369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I158" authorId="0" shapeId="0" xr:uid="{B8C40975-DB76-4DB4-BE9B-B0853076427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J158" authorId="0" shapeId="0" xr:uid="{5150C033-E29E-47FA-BF81-A8728FAAD16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K158" authorId="0" shapeId="0" xr:uid="{0EE76BF1-6C01-42D8-9E8F-6CCBFD9909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8" authorId="0" shapeId="0" xr:uid="{BD047D7C-C8F0-4172-934F-D94CBEEAF8F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K159" authorId="0" shapeId="0" xr:uid="{EBFE5725-2151-4BA3-8F6A-E18946EDD824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550</t>
        </r>
      </text>
    </comment>
    <comment ref="AN159" authorId="0" shapeId="0" xr:uid="{6079DD70-C618-4446-BEDA-823E4B9B700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I160" authorId="0" shapeId="0" xr:uid="{61152C7D-BC59-47CD-88D5-D1BB6D63E3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I161" authorId="0" shapeId="0" xr:uid="{525E319A-C106-4AD7-B1D4-B2C976997B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J161" authorId="0" shapeId="0" xr:uid="{73FF64CF-7ED6-493C-998F-E034A8AFFC0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K165" authorId="0" shapeId="0" xr:uid="{B6404B10-EA40-4EB6-8BD3-725D018BF7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5" authorId="0" shapeId="0" xr:uid="{5EBBEFEC-71F3-4336-BEF2-3F844703FF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185.133</t>
        </r>
      </text>
    </comment>
    <comment ref="AK166" authorId="0" shapeId="0" xr:uid="{8DAA5058-0256-4511-9723-B08100BE7E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6" authorId="0" shapeId="0" xr:uid="{DE18BA86-3CDE-4860-9ECF-D423E0B806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K167" authorId="0" shapeId="0" xr:uid="{26574F76-9FC9-4953-8AC7-557256DE90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7" authorId="0" shapeId="0" xr:uid="{A4947C4A-BEEA-4DB1-A50D-D3AA3E7B1DE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C172" authorId="0" shapeId="0" xr:uid="{F0E4EBD0-8D34-450A-8F73-0DC05E6EA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I172" authorId="0" shapeId="0" xr:uid="{CFA21B01-9BBF-4167-8D4D-ECA99E1888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J172" authorId="0" shapeId="0" xr:uid="{7ADA1B73-150E-403E-BFFE-98B47F012C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N172" authorId="0" shapeId="0" xr:uid="{440D67F0-8AF5-4E50-8535-F8CCEC549A4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B173" authorId="0" shapeId="0" xr:uid="{82F862F8-733C-4CC4-93E9-B5ABEFE549C4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 xml:space="preserve">na planilha da regional tem 3b e na planilha da matriz tem 3c verificar qual nomenclatura é a correta </t>
        </r>
      </text>
    </comment>
    <comment ref="AC173" authorId="0" shapeId="0" xr:uid="{A741BA05-2277-4BDD-85EA-1D4BED63D13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185.000</t>
        </r>
      </text>
    </comment>
    <comment ref="AJ173" authorId="0" shapeId="0" xr:uid="{7D40E370-8B34-42B0-A605-ECEC5BE5859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1.027</t>
        </r>
      </text>
    </comment>
    <comment ref="AN173" authorId="0" shapeId="0" xr:uid="{87E48A2D-388C-4FD9-948A-2B575B5EF3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126.095</t>
        </r>
      </text>
    </comment>
    <comment ref="AJ175" authorId="0" shapeId="0" xr:uid="{82379BEA-312D-40E2-88ED-FFC6792ED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K175" authorId="0" shapeId="0" xr:uid="{A2DB11D4-309A-45D1-9112-EFA01C69EA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I177" authorId="0" shapeId="0" xr:uid="{21464208-57F0-4C73-BB6D-53ACD0EAA5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323</t>
        </r>
      </text>
    </comment>
    <comment ref="AJ177" authorId="0" shapeId="0" xr:uid="{DA04B798-FB26-4FFA-B0E4-B3B9ADA738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319
</t>
        </r>
      </text>
    </comment>
    <comment ref="AK177" authorId="0" shapeId="0" xr:uid="{5C2791BA-D3C6-434E-B0BF-893A85DE69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7" authorId="0" shapeId="0" xr:uid="{0AD2C5D4-568A-44DB-A4A9-722F34D9771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209,808</t>
        </r>
      </text>
    </comment>
    <comment ref="AK178" authorId="0" shapeId="0" xr:uid="{10D4BF82-1FE4-4540-9E02-4723E5FDDE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8" authorId="0" shapeId="0" xr:uid="{6E5B27B3-CADC-41C0-A09F-DD92147F7C5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204.199</t>
        </r>
      </text>
    </comment>
    <comment ref="AJ179" authorId="0" shapeId="0" xr:uid="{8717B46A-4CFF-43B0-820B-95AE24786B6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509</t>
        </r>
      </text>
    </comment>
    <comment ref="AN179" authorId="0" shapeId="0" xr:uid="{57595505-6710-47CF-BB63-9E668B2E86F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205.721</t>
        </r>
      </text>
    </comment>
    <comment ref="AI181" authorId="0" shapeId="0" xr:uid="{08A2C879-4A8C-47C9-A673-2080BDDC8E7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325</t>
        </r>
      </text>
    </comment>
    <comment ref="AJ181" authorId="0" shapeId="0" xr:uid="{23FCA918-5249-4C5A-B80A-18E2AB82460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313</t>
        </r>
      </text>
    </comment>
    <comment ref="AN181" authorId="0" shapeId="0" xr:uid="{AA66A884-D804-45F9-A124-382C604ADE0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487.144</t>
        </r>
      </text>
    </comment>
    <comment ref="AI183" authorId="0" shapeId="0" xr:uid="{49276C08-604B-4539-B321-A5A3C129D3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335</t>
        </r>
      </text>
    </comment>
    <comment ref="AJ183" authorId="0" shapeId="0" xr:uid="{B54F9B74-A8CF-4A5A-ABD0-23233DAF1B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815</t>
        </r>
      </text>
    </comment>
    <comment ref="AK184" authorId="0" shapeId="0" xr:uid="{8BA46198-BBC3-4BEA-AE66-A6A6BC6F855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4" authorId="0" shapeId="0" xr:uid="{E682A0FD-A1ED-4318-A6A7-096E61DD8D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324.544</t>
        </r>
      </text>
    </comment>
    <comment ref="AK185" authorId="0" shapeId="0" xr:uid="{66189018-4ABE-4E1C-A9E7-80149B354BD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5" authorId="0" shapeId="0" xr:uid="{8E775417-75E2-4CD5-8957-1291848D72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281.793</t>
        </r>
      </text>
    </comment>
    <comment ref="AK186" authorId="0" shapeId="0" xr:uid="{97F9606C-2ED4-42E8-AF00-9CA990904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6" authorId="0" shapeId="0" xr:uid="{60C58D56-4E02-4501-92FD-BC4D4B1078B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231.397</t>
        </r>
      </text>
    </comment>
    <comment ref="AK187" authorId="0" shapeId="0" xr:uid="{A54F9E32-2F9D-4577-9355-F06EA7DF5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7" authorId="0" shapeId="0" xr:uid="{9EACC149-8F8A-4747-9795-9F2309B92B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C188" authorId="0" shapeId="0" xr:uid="{2C9932D2-D15A-4BD1-AA7A-740FC045308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I188" authorId="0" shapeId="0" xr:uid="{F1A43E99-FE82-405C-B48E-4C5758341C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J188" authorId="0" shapeId="0" xr:uid="{C4805D10-50A7-4D16-AF18-FFBB0879818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N188" authorId="0" shapeId="0" xr:uid="{0FD041D8-958E-4C6A-831E-DA7B5E7016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I196" authorId="0" shapeId="0" xr:uid="{6A7F28F6-4143-4EED-BCA0-B9F9C222E29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369</t>
        </r>
      </text>
    </comment>
    <comment ref="AJ196" authorId="0" shapeId="0" xr:uid="{822FDD60-A100-4D3E-903B-A29B4EDAFD2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896</t>
        </r>
      </text>
    </comment>
    <comment ref="AC197" authorId="0" shapeId="0" xr:uid="{D090A27E-ABE8-49BC-81C4-6EAFF542483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81.040</t>
        </r>
      </text>
    </comment>
    <comment ref="AI197" authorId="0" shapeId="0" xr:uid="{05CF4C02-4345-4A45-912C-4F319B2371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1.013</t>
        </r>
      </text>
    </comment>
    <comment ref="AJ197" authorId="0" shapeId="0" xr:uid="{45BC5696-EA34-431B-B743-662B4D215F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80</t>
        </r>
      </text>
    </comment>
    <comment ref="AN197" authorId="0" shapeId="0" xr:uid="{9F52256B-E196-4DFF-BF5E-6D7BB033D2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911.700</t>
        </r>
      </text>
    </comment>
    <comment ref="AI198" authorId="0" shapeId="0" xr:uid="{3BEAD55A-CFA4-49F2-B2FF-90B57F7576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198" authorId="0" shapeId="0" xr:uid="{105AEABA-E506-469A-9021-E4B22373F3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C199" authorId="0" shapeId="0" xr:uid="{60FCAC3F-50BB-4B3E-B946-670465C69C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199" authorId="0" shapeId="0" xr:uid="{EE954601-4C77-49E8-8803-0E0BEFB2C6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0" authorId="0" shapeId="0" xr:uid="{F474377B-03AC-4DC9-9069-CA104C95184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0" authorId="0" shapeId="0" xr:uid="{95771FF2-9B1A-4F31-996A-A0E0476C7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C201" authorId="0" shapeId="0" xr:uid="{39455F12-B837-4AEE-95EE-2A9E31D12A8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1" authorId="0" shapeId="0" xr:uid="{5DE3A328-648B-465A-BB0E-805016AEC5A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3" authorId="0" shapeId="0" xr:uid="{7C97543F-AB55-4267-AD1C-E325C75E77F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I203" authorId="0" shapeId="0" xr:uid="{5A2F46FA-7284-4A05-88AD-840E8157A9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J203" authorId="0" shapeId="0" xr:uid="{5E3B8188-94DC-4459-9A05-276DE0137E3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N203" authorId="0" shapeId="0" xr:uid="{5948CF6F-71AE-431C-9BB3-965BBA7B11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AI205" authorId="0" shapeId="0" xr:uid="{80C3582D-F0AE-4EBC-9588-8D85CDEADCA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</t>
        </r>
      </text>
    </comment>
    <comment ref="AK211" authorId="0" shapeId="0" xr:uid="{B816C2B8-3BAE-4CE8-810C-156596C99565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>Antes era 530</t>
        </r>
      </text>
    </comment>
    <comment ref="AN211" authorId="0" shapeId="0" xr:uid="{FDEC7413-8BE0-492A-9D9B-89E9612598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Valor antes 145.834</t>
        </r>
      </text>
    </comment>
    <comment ref="AC212" authorId="0" shapeId="0" xr:uid="{C72934C5-888D-402A-80DC-90A566A9B2A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224.990</t>
        </r>
      </text>
    </comment>
    <comment ref="AJ212" authorId="0" shapeId="0" xr:uid="{D386192F-3337-4F3D-8E41-C71CF0FEB5E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774</t>
        </r>
      </text>
    </comment>
    <comment ref="AK212" authorId="0" shapeId="0" xr:uid="{EEACD062-EF02-4171-8FA1-92BD95FA461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</t>
        </r>
      </text>
    </comment>
    <comment ref="AN212" authorId="0" shapeId="0" xr:uid="{2E7B6035-4B7C-4846-A168-D54D751275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154.063</t>
        </r>
      </text>
    </comment>
    <comment ref="AK213" authorId="0" shapeId="0" xr:uid="{9AA7F48B-4396-4A9F-9E6E-EEA009B39CA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13" authorId="0" shapeId="0" xr:uid="{52B42670-C429-4CFF-9189-914DDD5CAE8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145.750</t>
        </r>
      </text>
    </comment>
    <comment ref="AN215" authorId="0" shapeId="0" xr:uid="{E36F81E9-3C8E-4110-B20B-A04AE7CA31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6" authorId="0" shapeId="0" xr:uid="{E56F60E8-82D3-44BD-9841-BA272CDF154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7" authorId="0" shapeId="0" xr:uid="{02D7AC70-7D80-4E45-AA04-FD895698E20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8" authorId="0" shapeId="0" xr:uid="{97387152-129A-483D-B592-E369050F6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9" authorId="0" shapeId="0" xr:uid="{4E5F4025-22D1-441B-A5CC-3D9B91BB3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0" authorId="0" shapeId="0" xr:uid="{8E738250-4678-49E2-90BE-2215D3E443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1" authorId="0" shapeId="0" xr:uid="{6280D843-8538-42D3-9927-8C9848BA945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2" authorId="0" shapeId="0" xr:uid="{86234F2B-4F32-4B7F-A0C5-BF653E48205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3" authorId="0" shapeId="0" xr:uid="{AD9C32EA-5A69-4374-81C7-1AFEE4A2D7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4" authorId="0" shapeId="0" xr:uid="{46D48BFC-0556-4556-AB10-5EFB46AF090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5" authorId="0" shapeId="0" xr:uid="{2D6BD161-FEC5-4E03-81AC-8E948625C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6" authorId="0" shapeId="0" xr:uid="{861BA18B-B0D7-467A-B95D-EDAD31606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7" authorId="0" shapeId="0" xr:uid="{683FA6A3-B745-4B2D-85FE-46970E630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8" authorId="0" shapeId="0" xr:uid="{2A7DC327-27E8-4D3C-A2DF-13D4102AA1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K229" authorId="0" shapeId="0" xr:uid="{05BE4E58-236E-4D1D-910B-46F32518BF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29" authorId="0" shapeId="0" xr:uid="{71EFE490-EA5D-4CB8-A88E-BD6DD3FDC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159.099</t>
        </r>
      </text>
    </comment>
    <comment ref="B230" authorId="0" shapeId="0" xr:uid="{23A7B005-C0E5-44DD-9111-134434915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  <comment ref="AC234" authorId="0" shapeId="0" xr:uid="{81663C54-3D0E-4D6E-A8ED-5225FBBBB59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178.861</t>
        </r>
      </text>
    </comment>
    <comment ref="AI234" authorId="0" shapeId="0" xr:uid="{E6FE3473-1EE4-47B0-878F-16AE420015D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4" authorId="0" shapeId="0" xr:uid="{74DF9236-07EA-40D1-A999-CE49BBDE091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706</t>
        </r>
      </text>
    </comment>
    <comment ref="AK234" authorId="0" shapeId="0" xr:uid="{4026787B-FB15-41A8-A982-30D11A6083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N234" authorId="0" shapeId="0" xr:uid="{A4B14D2C-09F6-4800-B43C-53A0882119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141.780</t>
        </r>
      </text>
    </comment>
    <comment ref="AC235" authorId="0" shapeId="0" xr:uid="{7E7FFC8F-96BD-40F9-89D3-C82210C3D55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30.226</t>
        </r>
      </text>
    </comment>
    <comment ref="AI235" authorId="0" shapeId="0" xr:uid="{F7C4118A-15D6-43BD-B7A7-7F7549CCFD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242</t>
        </r>
      </text>
    </comment>
    <comment ref="AJ235" authorId="0" shapeId="0" xr:uid="{1963F90F-204A-45DA-B1A2-4F915C25D6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1.253</t>
        </r>
      </text>
    </comment>
    <comment ref="AK235" authorId="0" shapeId="0" xr:uid="{D420C7F6-6C70-446E-934C-2BE2F10A39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35" authorId="0" shapeId="0" xr:uid="{F1114D5E-105C-4C9A-8D2D-00E80134BE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133.100</t>
        </r>
      </text>
    </comment>
    <comment ref="AC237" authorId="0" shapeId="0" xr:uid="{38825BCF-6B78-4911-A892-5B5ED13638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396.000</t>
        </r>
      </text>
    </comment>
    <comment ref="AI237" authorId="0" shapeId="0" xr:uid="{3BD1B2A8-6DAE-457F-B981-0EF6B4826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7" authorId="0" shapeId="0" xr:uid="{D344B7EA-73C0-400B-A3D4-2439B286A79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1.760</t>
        </r>
      </text>
    </comment>
    <comment ref="AK237" authorId="0" shapeId="0" xr:uid="{FBA6CB20-A5B2-4C6D-A4C3-DDE270A712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37" authorId="0" shapeId="0" xr:uid="{D5E60321-E52D-4875-BBA9-601ABA7A291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112.485</t>
        </r>
      </text>
    </comment>
    <comment ref="AK239" authorId="0" shapeId="0" xr:uid="{A99EBBC9-D16A-4065-9A3E-3AC6D77B5D1E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AK240" authorId="0" shapeId="0" xr:uid="{4D52890C-95FC-4E11-9C6D-9C2192D66A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</t>
        </r>
      </text>
    </comment>
    <comment ref="AN240" authorId="0" shapeId="0" xr:uid="{5F8F761F-4909-4653-9110-7F788D6013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62.917</t>
        </r>
      </text>
    </comment>
    <comment ref="AK241" authorId="0" shapeId="0" xr:uid="{EF95B317-AA2A-45A4-98F2-A5B516430A2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 e passou para 350</t>
        </r>
      </text>
    </comment>
    <comment ref="AN241" authorId="0" shapeId="0" xr:uid="{806B2EF8-58ED-4419-89AE-A917DC6C3F8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63.047</t>
        </r>
      </text>
    </comment>
    <comment ref="AC243" authorId="0" shapeId="0" xr:uid="{C3819C3B-0C4F-4168-8CE2-577D69F395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200.045</t>
        </r>
      </text>
    </comment>
    <comment ref="AI243" authorId="0" shapeId="0" xr:uid="{C72FAE47-6B69-444C-9A51-A4F280C4C9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268</t>
        </r>
      </text>
    </comment>
    <comment ref="AJ243" authorId="0" shapeId="0" xr:uid="{9E4C5FE6-6C5A-446F-AB72-7A79D3E2E6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747</t>
        </r>
      </text>
    </comment>
    <comment ref="AK243" authorId="0" shapeId="0" xr:uid="{CB0D4EFC-CF60-4788-8E61-5230E34677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43" authorId="0" shapeId="0" xr:uid="{A888F085-7EE3-4125-8DE5-5D0BB892B0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130.942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<sst xmlns="http://schemas.openxmlformats.org/spreadsheetml/2006/main" count="2926" uniqueCount="798">
  <si>
    <t>Nome</t>
  </si>
  <si>
    <t>[ON / OFF]</t>
  </si>
  <si>
    <t>Regional</t>
  </si>
  <si>
    <t>Cidade</t>
  </si>
  <si>
    <t>Empreendimento</t>
  </si>
  <si>
    <t>Tipo</t>
  </si>
  <si>
    <t>Year</t>
  </si>
  <si>
    <t>Participação Buriti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</si>
  <si>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</si>
  <si>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</si>
  <si>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</si>
  <si>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</si>
  <si>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</si>
  <si>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Data de Lançamento</t>
  </si>
  <si>
    <t>Data de Inicio de Construção</t>
  </si>
  <si>
    <t>Custo Total do Terreno
(Pré Rateio - R$mm)</t>
  </si>
  <si>
    <t>Custo Total do Terreno
(% do VGV)</t>
  </si>
  <si>
    <t>Custo de Construção
(Pré Rateio - R$mm)</t>
  </si>
  <si>
    <t>m2 por Unidade</t>
  </si>
  <si>
    <t>Total de Unidades</t>
  </si>
  <si>
    <t>VGV Total
(R$mm)</t>
  </si>
  <si>
    <t>VGV Total
(R$mm) BT</t>
  </si>
  <si>
    <t>NORTE</t>
  </si>
  <si>
    <t>ELDORADO DO CARAJAS</t>
  </si>
  <si>
    <t>A DEFINIR</t>
  </si>
  <si>
    <t>Loteamento</t>
  </si>
  <si>
    <t>-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</si>
  <si>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</si>
  <si>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</si>
  <si>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</si>
  <si>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</si>
  <si>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</si>
  <si>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</si>
  <si>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</si>
  <si>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</si>
  <si>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</si>
  <si>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</si>
  <si>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</si>
  <si>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</si>
  <si>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</si>
  <si>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</si>
  <si>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</si>
  <si>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</si>
  <si>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</si>
  <si>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</si>
  <si>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</si>
  <si>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</si>
  <si>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</si>
  <si>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</si>
  <si>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</si>
  <si>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</si>
  <si>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</si>
  <si>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</si>
  <si>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</si>
  <si>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</si>
  <si>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</si>
  <si>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</si>
  <si>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</si>
  <si>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</si>
  <si>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</si>
  <si>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</si>
  <si>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</si>
  <si>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</si>
  <si>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</si>
  <si>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</si>
  <si>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</si>
  <si>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</si>
  <si>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</si>
  <si>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</si>
  <si>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</si>
  <si>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</si>
  <si>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</si>
  <si>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</si>
  <si>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</si>
  <si>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</si>
  <si>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</si>
  <si>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</si>
  <si>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</si>
  <si>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</si>
  <si>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</si>
  <si>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</si>
  <si>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</si>
  <si>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</si>
  <si>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</si>
  <si>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</si>
  <si>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</si>
  <si>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</si>
  <si>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</si>
  <si>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</si>
  <si>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</si>
  <si>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</si>
  <si>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</si>
  <si>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</si>
  <si>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</si>
  <si>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</si>
  <si>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</si>
  <si>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</si>
  <si>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</si>
  <si>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</si>
  <si>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</si>
  <si>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</si>
  <si>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</si>
  <si>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</si>
  <si>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</si>
  <si>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</si>
  <si>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</si>
  <si>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</si>
  <si>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</si>
  <si>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</si>
  <si>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</si>
  <si>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</si>
  <si>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</si>
  <si>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</si>
  <si>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</si>
  <si>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</si>
  <si>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</si>
  <si>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SUDESTE</t>
  </si>
  <si>
    <t>MONTES CLAROS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</si>
  <si>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</si>
  <si>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</si>
  <si>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</si>
  <si>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</si>
  <si>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</si>
  <si>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</si>
  <si>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BURITI GARDEN PREMIUM</t>
  </si>
  <si>
    <t>DUQUE DE CAXIAS</t>
  </si>
  <si>
    <t>RESIDENCIAL JARDIM EUROPA - COND.</t>
  </si>
  <si>
    <t>RESIDENCIAL CIDADE JARDIM - INDUSTRIAL</t>
  </si>
  <si>
    <t>ITABORAÍ</t>
  </si>
  <si>
    <t>BURITI GARDEN I</t>
  </si>
  <si>
    <t>MACAE</t>
  </si>
  <si>
    <t>RESIDENCIAL CIDADE JARDIM I</t>
  </si>
  <si>
    <t>ARRAIAL DO CABO</t>
  </si>
  <si>
    <t xml:space="preserve">ITAPETININGA </t>
  </si>
  <si>
    <t>A DEFINIR I</t>
  </si>
  <si>
    <t>A DEFINIR II</t>
  </si>
  <si>
    <t>A DEFINIR III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</si>
  <si>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</si>
  <si>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</si>
  <si>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</si>
  <si>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</si>
  <si>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</si>
  <si>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</si>
  <si>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</si>
  <si>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</si>
  <si>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</si>
  <si>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</si>
  <si>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</si>
  <si>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</si>
  <si>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</si>
  <si>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</si>
  <si>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</si>
  <si>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</si>
  <si>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</si>
  <si>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</si>
  <si>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</si>
  <si>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</si>
  <si>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</si>
  <si>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GUAÍBA</t>
  </si>
  <si>
    <t>PORTO ALEGRE</t>
  </si>
  <si>
    <t>SANTA CRUZ DO SUL</t>
  </si>
  <si>
    <t>SÃO LEOPOLDO</t>
  </si>
  <si>
    <t>CAXIAS DO SUL</t>
  </si>
  <si>
    <t>CANELA</t>
  </si>
  <si>
    <t>VIAMÃO</t>
  </si>
  <si>
    <t>PELOTAS</t>
  </si>
  <si>
    <t>RIO GRANDE DO SUL</t>
  </si>
  <si>
    <t>ALVORADA</t>
  </si>
  <si>
    <t>SAPIRANGA</t>
  </si>
  <si>
    <t>TORRES</t>
  </si>
  <si>
    <t>GUARAPUAVA</t>
  </si>
  <si>
    <t>VITORINO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</si>
  <si>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</si>
  <si>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</si>
  <si>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</si>
  <si>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</si>
  <si>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</si>
  <si>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</si>
  <si>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</si>
  <si>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</si>
  <si>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</si>
  <si>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</si>
  <si>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</si>
  <si>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</si>
  <si>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</si>
  <si>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</si>
  <si>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</si>
  <si>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</si>
  <si>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</si>
  <si>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</si>
  <si>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</si>
  <si>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</si>
  <si>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CIDADE JARDIM - ETP I</t>
  </si>
  <si>
    <t>CIDADE JARDIM - ETP II</t>
  </si>
  <si>
    <t>CONCEIÇÃO DO ARAGUAIA</t>
  </si>
  <si>
    <t>RES. BURITI GARDEN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</si>
  <si>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</si>
  <si>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</si>
  <si>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</si>
  <si>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</si>
  <si>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</si>
  <si>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</si>
  <si>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</si>
  <si>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</si>
  <si>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</si>
  <si>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</si>
  <si>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</si>
  <si>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</si>
  <si>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</si>
  <si>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</si>
  <si>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</si>
  <si>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</si>
  <si>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</si>
  <si>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</si>
  <si>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</si>
  <si>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</si>
  <si>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</si>
  <si>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</si>
  <si>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</si>
  <si>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</si>
  <si>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</si>
  <si>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</si>
  <si>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</si>
  <si>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</si>
  <si>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</si>
  <si>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</si>
  <si>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</si>
  <si>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</si>
  <si>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</si>
  <si>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</si>
  <si>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</si>
  <si>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</si>
  <si>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</si>
  <si>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</si>
  <si>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</si>
  <si>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</si>
  <si>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</si>
  <si>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</si>
  <si>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</si>
  <si>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</si>
  <si>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</si>
  <si>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</si>
  <si>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</si>
  <si>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</si>
  <si>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</si>
  <si>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</si>
  <si>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</si>
  <si>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</si>
  <si>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</si>
  <si>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</si>
  <si>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</si>
  <si>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</si>
  <si>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</si>
  <si>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</si>
  <si>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</si>
  <si>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</si>
  <si>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</si>
  <si>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</si>
  <si>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</si>
  <si>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</si>
  <si>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</si>
  <si>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II - BALSAS</t>
  </si>
  <si>
    <t>RESIDENCIAL CIDADE JARDIM III - BALSAS</t>
  </si>
  <si>
    <t>RESIDENCIAL CIDADE JARDIM II - MONTES CLAROS</t>
  </si>
  <si>
    <t>RESIDENCIAL CIDADE JARDIM III - MONTES CLAROS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</si>
  <si>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</si>
  <si>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</si>
  <si>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</si>
  <si>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</si>
  <si>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</si>
  <si>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</si>
  <si>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</si>
  <si>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</si>
  <si>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</si>
  <si>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</si>
  <si>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</si>
  <si>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</si>
  <si>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</si>
  <si>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</si>
  <si>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</si>
  <si>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</si>
  <si>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</si>
  <si>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</si>
  <si>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</si>
  <si>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</si>
  <si>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</si>
  <si>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</si>
  <si>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</si>
  <si>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</si>
  <si>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</si>
  <si>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</si>
  <si>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</si>
  <si>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</si>
  <si>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</si>
  <si>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</si>
  <si>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</si>
  <si>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- CABO FRIO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</si>
  <si>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</si>
  <si>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</si>
  <si>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</si>
  <si>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</si>
  <si>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</si>
  <si>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</si>
  <si>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</si>
  <si>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</si>
  <si>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</si>
  <si>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</si>
  <si>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</si>
  <si>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</si>
  <si>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</si>
  <si>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</si>
  <si>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</si>
  <si>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</si>
  <si>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</si>
  <si>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</si>
  <si>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</si>
  <si>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</si>
  <si>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</si>
  <si>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</si>
  <si>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</si>
  <si>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</si>
  <si>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</si>
  <si>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</si>
  <si>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</si>
  <si>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</si>
  <si>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</si>
  <si>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</si>
  <si>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</si>
  <si>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</si>
  <si>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</si>
  <si>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</si>
  <si>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</si>
  <si>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</si>
  <si>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</si>
  <si>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</si>
  <si>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</si>
  <si>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</si>
  <si>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</si>
  <si>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</si>
  <si>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</si>
  <si>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</si>
  <si>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</si>
  <si>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</si>
  <si>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</si>
  <si>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</si>
  <si>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</si>
  <si>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</si>
  <si>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</si>
  <si>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</si>
  <si>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</si>
  <si>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</si>
  <si>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</si>
  <si>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</si>
  <si>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</si>
  <si>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</si>
  <si>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</si>
  <si>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</si>
  <si>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</si>
  <si>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</si>
  <si>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</si>
  <si>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</si>
  <si>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</si>
  <si>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</si>
  <si>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</si>
  <si>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</si>
  <si>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</si>
  <si>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</si>
  <si>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</si>
  <si>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</si>
  <si>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</si>
  <si>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</si>
  <si>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</si>
  <si>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</si>
  <si>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</si>
  <si>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</si>
  <si>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</si>
  <si>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</si>
  <si>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</si>
  <si>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</si>
  <si>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</si>
  <si>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</si>
  <si>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</si>
  <si>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</si>
  <si>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</si>
  <si>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</si>
  <si>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</si>
  <si>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</si>
  <si>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</si>
  <si>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</si>
  <si>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</si>
  <si>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</si>
  <si>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</si>
  <si>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</si>
  <si>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</si>
  <si>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</si>
  <si>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</si>
  <si>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</si>
  <si>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</si>
  <si>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</si>
  <si>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</si>
  <si>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</si>
  <si>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</si>
  <si>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</si>
  <si>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</si>
  <si>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</si>
  <si>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</si>
  <si>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</si>
  <si>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</si>
  <si>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</si>
  <si>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</si>
  <si>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</si>
  <si>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</si>
  <si>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</si>
  <si>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</si>
  <si>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</si>
  <si>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</si>
  <si>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</si>
  <si>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</si>
  <si>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</si>
  <si>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</si>
  <si>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</si>
  <si>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</si>
  <si>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</si>
  <si>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</si>
  <si>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</si>
  <si>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</si>
  <si>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</si>
  <si>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</si>
  <si>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</si>
  <si>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</si>
  <si>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</si>
  <si>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</si>
  <si>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</si>
  <si>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</si>
  <si>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</si>
  <si>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</si>
  <si>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</si>
  <si>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</si>
  <si>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</si>
  <si>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</si>
  <si>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</si>
  <si>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</si>
  <si>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</si>
  <si>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</si>
  <si>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</si>
  <si>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</si>
  <si>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</si>
  <si>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</si>
  <si>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</si>
  <si>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</si>
  <si>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</si>
  <si>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</si>
  <si>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</si>
  <si>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</si>
  <si>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</si>
  <si>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</si>
  <si>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</si>
  <si>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</si>
  <si>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</si>
  <si>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</si>
  <si>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</si>
  <si>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</si>
  <si>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</si>
  <si>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</si>
  <si>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</si>
  <si>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</si>
  <si>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</si>
  <si>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</si>
  <si>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</si>
  <si>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</si>
  <si>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</si>
  <si>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</si>
  <si>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</si>
  <si>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</si>
  <si>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</si>
  <si>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</si>
  <si>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</si>
  <si>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</si>
  <si>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</si>
  <si>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</si>
  <si>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</si>
  <si>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</si>
  <si>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</si>
  <si>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</si>
  <si>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</si>
  <si>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</si>
  <si>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</si>
  <si>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</si>
  <si>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</si>
  <si>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</si>
  <si>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</si>
  <si>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</si>
  <si>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</si>
  <si>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</si>
  <si>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</si>
  <si>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</si>
  <si>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</si>
  <si>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</si>
  <si>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</si>
  <si>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</si>
  <si>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</si>
  <si>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</si>
  <si>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</si>
  <si>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MAP083</t>
  </si>
  <si>
    <t>MAP084</t>
  </si>
  <si>
    <t>MAP085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</si>
  <si>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</si>
  <si>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</si>
  <si>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</si>
  <si>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</si>
  <si>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</si>
  <si>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</si>
  <si>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</si>
  <si>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</si>
  <si>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</si>
  <si>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</si>
  <si>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</si>
  <si>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</si>
  <si>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</si>
  <si>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</si>
  <si>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</si>
  <si>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</si>
  <si>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</si>
  <si>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</si>
  <si>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</si>
  <si>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</si>
  <si>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</si>
  <si>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</si>
  <si>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</si>
  <si>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</si>
  <si>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</si>
  <si>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</si>
  <si>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</si>
  <si>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</si>
  <si>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</si>
  <si>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</si>
  <si>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</si>
  <si>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</si>
  <si>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</si>
  <si>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</si>
  <si>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</si>
  <si>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</si>
  <si>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</si>
  <si>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</si>
  <si>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</si>
  <si>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</si>
  <si>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</si>
  <si>
    <t>Código Modelo</t>
  </si>
  <si>
    <t>Margem</t>
  </si>
  <si>
    <t>Valor m2 Obra</t>
  </si>
  <si>
    <t>Valor m2 Venda</t>
  </si>
  <si>
    <t>Area Total m2</t>
  </si>
  <si>
    <t>Valor médio por terreno</t>
  </si>
  <si>
    <t>Custo médio por terreno</t>
  </si>
  <si>
    <t>Empresa UAU</t>
  </si>
  <si>
    <t>Obra UAU</t>
  </si>
  <si>
    <t># Workflow</t>
  </si>
  <si>
    <t>RESIDENCIAL CIDADE JARDIM - SUBETAPA2 - BALSAS</t>
  </si>
  <si>
    <t>RESIDENCIAL CIDADE JARDIM I - STP1</t>
  </si>
  <si>
    <t># UAU LAND-BANK</t>
  </si>
  <si>
    <t>REVER PROJETOS</t>
  </si>
  <si>
    <t>% Paga obra</t>
  </si>
  <si>
    <t>RESIDENCIAL PAINEIRAS</t>
  </si>
  <si>
    <t>PORTO VELHO</t>
  </si>
  <si>
    <t>RESIDENCIAL PARQUE JARDIM</t>
  </si>
  <si>
    <t>SPE BTMV EMPREENDIMENTOS IMOBILIARIOS LTDA</t>
  </si>
  <si>
    <t>HONORATO PIRES MIRANDA "ESPÓLIO"</t>
  </si>
  <si>
    <t>NOVO GAMA</t>
  </si>
  <si>
    <t>CENTRO-OESTE II</t>
  </si>
  <si>
    <t>Projeto Feito</t>
  </si>
  <si>
    <t>CHAPADA DOS GUIMARÃES-LAGO DO MANSO</t>
  </si>
  <si>
    <t>CHAPADA DOS GUIMARÃES</t>
  </si>
  <si>
    <t>ZEZO MALOUF</t>
  </si>
  <si>
    <t>MAP123</t>
  </si>
  <si>
    <t>MAP124</t>
  </si>
  <si>
    <t>MAP125</t>
  </si>
  <si>
    <t>MAP126</t>
  </si>
  <si>
    <t>MAP127</t>
  </si>
  <si>
    <t>MAP128</t>
  </si>
  <si>
    <t>MAP130</t>
  </si>
  <si>
    <t>MAP131</t>
  </si>
  <si>
    <t>MAP132</t>
  </si>
  <si>
    <t>ANAMARIA SANTOS GUIMARÃES</t>
  </si>
  <si>
    <t>CALDAS NOVAS</t>
  </si>
  <si>
    <t>MAP133</t>
  </si>
  <si>
    <t>BELA VISTA DE GOIÁS</t>
  </si>
  <si>
    <t>VARGEM GRANDE</t>
  </si>
  <si>
    <t>UF</t>
  </si>
  <si>
    <t>PA</t>
  </si>
  <si>
    <t>TO</t>
  </si>
  <si>
    <t>BA</t>
  </si>
  <si>
    <t>AL</t>
  </si>
  <si>
    <t>CE</t>
  </si>
  <si>
    <t>MG</t>
  </si>
  <si>
    <t>ES</t>
  </si>
  <si>
    <t>RJ</t>
  </si>
  <si>
    <t>RS</t>
  </si>
  <si>
    <t>AC</t>
  </si>
  <si>
    <t>MT</t>
  </si>
  <si>
    <t>RO</t>
  </si>
  <si>
    <t>GO</t>
  </si>
  <si>
    <t>MA</t>
  </si>
  <si>
    <t>PB</t>
  </si>
  <si>
    <t>SE</t>
  </si>
  <si>
    <t>ITATIAIA</t>
  </si>
  <si>
    <t>SP</t>
  </si>
  <si>
    <t>ITAPETININGA</t>
  </si>
  <si>
    <t>PR</t>
  </si>
  <si>
    <t>10A - RIO GRANDE - AQUARIO/IBOTY</t>
  </si>
  <si>
    <t>10B - RIO GRANDE - AQUARIO/IBOTY</t>
  </si>
  <si>
    <t>15 - VITORINO - 64HA</t>
  </si>
  <si>
    <t xml:space="preserve">15 - VITORINO - 64HA II </t>
  </si>
  <si>
    <t>11 - ALVORADA</t>
  </si>
  <si>
    <t>12 - SAPIRANGA</t>
  </si>
  <si>
    <t>13 - TORRES</t>
  </si>
  <si>
    <t>14A- GUARAPUAVA - 41HA (ELDORADO I)</t>
  </si>
  <si>
    <t>14B- GUARAPUAVA - 24HA (ELDORADO II)</t>
  </si>
  <si>
    <t>1A - CACHOEIRA DO SUL</t>
  </si>
  <si>
    <t>1A - CACHOEIRA (COMPRA 23,21HA)</t>
  </si>
  <si>
    <t>1B - CACHOEIRA DO SUL</t>
  </si>
  <si>
    <t>1B - CACHOEIRA (COMPRA 23,21HA)</t>
  </si>
  <si>
    <t>2B - GUIAÍBA</t>
  </si>
  <si>
    <t>2C - GUIAÍBA</t>
  </si>
  <si>
    <t>2D - GUIAÍBA</t>
  </si>
  <si>
    <t>2D - GUIAÍBA II</t>
  </si>
  <si>
    <t>2D - GUIAÍBA III</t>
  </si>
  <si>
    <t>3AB - POA CIDADE NOVA/ ARILDO</t>
  </si>
  <si>
    <t>3AC - POA CIDADE NOVA/ ARILDO</t>
  </si>
  <si>
    <t>7 - CANELA I</t>
  </si>
  <si>
    <t>7 - CANELA II</t>
  </si>
  <si>
    <t>7 - CANELA III</t>
  </si>
  <si>
    <t>7 - CANELA IV</t>
  </si>
  <si>
    <t>4A - SANTA CRUZ DO SUL</t>
  </si>
  <si>
    <t>3AD - POA C. NOVA/ARILDO (COMPRA 24HA)</t>
  </si>
  <si>
    <t>3B - POA CIDADE NOVA/FML</t>
  </si>
  <si>
    <t>6F - CAXIAS DO SUL - FAMÍLIA STEDILE</t>
  </si>
  <si>
    <t>6E - CX. SUL - SIVIERO / PEDROTTI</t>
  </si>
  <si>
    <t>6D - CX. SUL - SIVIERO / ZANANDREA</t>
  </si>
  <si>
    <t>6C - CX. SUL - SIVIERO / VALE DAS COLINAS</t>
  </si>
  <si>
    <t>6B - CX. SUL - SIVIERO / CAMINHOS DO SOL</t>
  </si>
  <si>
    <t>6A - CAXIAS DO SUL EURO BR</t>
  </si>
  <si>
    <t>5B -SÃO LEOPOLDO - FECHADO 2ºFASE</t>
  </si>
  <si>
    <t>5B -SÃO LEOPOLDO - FECHADO 1ºFASE</t>
  </si>
  <si>
    <t>5A -SÃO LEOPOLDO - ABERTO 2ºFASE</t>
  </si>
  <si>
    <t>5A -SÃO LEOPOLDO - ABERTO 1ºFASE</t>
  </si>
  <si>
    <t>3DC - POA/CALHA DE PEDRA III</t>
  </si>
  <si>
    <t>3DB - POA/CALHA DE PEDRA II</t>
  </si>
  <si>
    <t>3DA - POA/CALHA DE PEDRA I</t>
  </si>
  <si>
    <t>3C - POA C. NOVA/ DR.MARCO AURÉLIO</t>
  </si>
  <si>
    <t>8A - VIAMÃO - MARCELO GAMBOGI</t>
  </si>
  <si>
    <t>8B - VIAMÃO - SURREAX/MONTAINE</t>
  </si>
  <si>
    <t>8C - VIAMÃO - VIANÓPOLIS</t>
  </si>
  <si>
    <t>9A - PELOTAS - RESIDENCIAL RCL</t>
  </si>
  <si>
    <t>9B - PELOTAS - INDUSTRIAL RCL</t>
  </si>
  <si>
    <t>10C - RIO GRANDE - AUGUSTO OTERO</t>
  </si>
  <si>
    <t>RESIDENCIAL CIDADE JARDIM I - ITAPETININGA</t>
  </si>
  <si>
    <t>RESIDENCIAL CIDADE JARDIM II - ITAPETININGA</t>
  </si>
  <si>
    <t>A DEFINIR I - ITAPETININGA</t>
  </si>
  <si>
    <t>A DEFINIR II - ITAPETININGA</t>
  </si>
  <si>
    <t>A DEFINIR III - ITAPETININGA</t>
  </si>
  <si>
    <t>A DEFINIR - AREA AEROPORTO XI - PALMAS</t>
  </si>
  <si>
    <t>RESIDENCIAL ACSV (ÁREA DO PASTOR) - PALMAS</t>
  </si>
  <si>
    <t>A DEFINIR IV - ITAPETININGA</t>
  </si>
  <si>
    <t>A DEFINIR V - ITAPETININGA</t>
  </si>
  <si>
    <t>A DEFINIR VI - ITAPETININGA</t>
  </si>
  <si>
    <t>A DEFINIR VII - ITAPETININGA</t>
  </si>
  <si>
    <t>A DEFINIR I - MONTES CLAROS</t>
  </si>
  <si>
    <t>RESIDENCIAL CIDADE JARDIM - ITATIAIA</t>
  </si>
  <si>
    <t>RESIDENCIAL CIDADE JARDIM - INDUSTRIAL - ITATIAIA</t>
  </si>
  <si>
    <t>RESIDENCIAL CIDADE JARDIM II - ITATIAIA</t>
  </si>
  <si>
    <t>RESIDENCIAL CIDADE JARDIM III - ITATIAIA</t>
  </si>
  <si>
    <t>RESIDENCIAL CIDADE JARDIM IV - ITATIAIA</t>
  </si>
  <si>
    <t>A DEFINIR I - ARRAIAL DO CABO</t>
  </si>
  <si>
    <t>A DEFINIR II - ARRAIAL DO CABO</t>
  </si>
  <si>
    <t>A DEFINIR I - MACAE</t>
  </si>
  <si>
    <t>A DEFINIR II - MACAE</t>
  </si>
  <si>
    <t>CIDADE JARDIM 12 - PARAUAPEBAS</t>
  </si>
  <si>
    <t>CIDADE JARDIM 13 - PARAUAPEBAS</t>
  </si>
  <si>
    <t>CIDADE JARDIM 14 - PARAUAPEBAS</t>
  </si>
  <si>
    <t>CIDADE JARDIM 15 - PARAUAPEBAS</t>
  </si>
  <si>
    <t>CIDADE JARDIM 16 - PARAUAPEBAS</t>
  </si>
  <si>
    <t>CIDADE JARDIM 17 - PARAUAPEBAS</t>
  </si>
  <si>
    <t>RESIDENCIAL JARDIM AMERICA II - PORANGATU</t>
  </si>
  <si>
    <t>10A - RIO GRANDE - AQUARIO/IBOTY - RIO GRANDE DO SUL</t>
  </si>
  <si>
    <t>A DEFINIR - GUARATIBA - RIO DE JANEIRO</t>
  </si>
  <si>
    <t>10B - RIO GRANDE - AQUARIO/IBOTY - RIO GRANDE DO SUL</t>
  </si>
  <si>
    <t>1A - CACHOEIRA DO SUL - CACHOEIRA DO SUL</t>
  </si>
  <si>
    <t>1A - CACHOEIRA (COMPRA 23,21HA) - CACHOEIRA DO SUL</t>
  </si>
  <si>
    <t>1B - CACHOEIRA DO SUL - CACHOEIRA DO SUL</t>
  </si>
  <si>
    <t>1B - CACHOEIRA (COMPRA 23,21HA) - CACHOEIRA DO SUL</t>
  </si>
  <si>
    <t>2B - GUAÍBA - GUAÍBA</t>
  </si>
  <si>
    <t>2C - GUAÍBA - GUAÍBA</t>
  </si>
  <si>
    <t>2D - GUAÍBA - GUAÍBA</t>
  </si>
  <si>
    <t>2D - GUAÍBA II - GUAÍBA</t>
  </si>
  <si>
    <t>2D - GUAÍBA III - GUAÍBA</t>
  </si>
  <si>
    <t>3AB - POA CIDADE NOVA /ARILDO - PORTO ALEGRE</t>
  </si>
  <si>
    <t>3AC - POA CIDADE NOVA /ARILDO - PORTO ALEGRE</t>
  </si>
  <si>
    <t>3AD - POA C. NOVA/ARILDO (COMPRA 24HA) - PORTO ALEGRE</t>
  </si>
  <si>
    <t>3B - POA CIDADE NOVA/FML - PORTO ALEGRE</t>
  </si>
  <si>
    <t>3C - POA C. NOVA/ DR.MARCO AURÉLIO - PORTO ALEGRE</t>
  </si>
  <si>
    <t>3DA - POA/CALHA DE PEDRA I - PORTO ALEGRE</t>
  </si>
  <si>
    <t>3DB - POA/CALHA DE PEDRA II - PORTO ALEGRE</t>
  </si>
  <si>
    <t>3DC - POA/CALHA DE PEDRA III - PORTO ALEGRE</t>
  </si>
  <si>
    <t>4A - SANTA CRUZ DO SUL - SANTA CRUZ DO SUL</t>
  </si>
  <si>
    <t>5A - SÃO LEOPOLDO - ABERTO 1ºFASE - SÃO LEOPOLDO</t>
  </si>
  <si>
    <t>5A - SÃO LEOPOLDO - ABERTO 2ºFASE - SÃO LEOPOLDO</t>
  </si>
  <si>
    <t>5B - SÃO LEOPOLDO - FECHADO 1ºFASE - SÃO LEOPOLDO</t>
  </si>
  <si>
    <t>5B - SÃO LEOPOLDO - FECHADO 2ºFASE - SÃO LEOPOLDO</t>
  </si>
  <si>
    <t>6A - CAXIAS DO SUL EURO BR - CAXIAS DO SUL</t>
  </si>
  <si>
    <t>6B - CX. SUL - SIVIERO / CAMINHOS DO SOL - CAXIAS DO SUL</t>
  </si>
  <si>
    <t>6C - CX. SUL - SIVIERO / VALE DAS COLINAS - CAXIAS DO SUL</t>
  </si>
  <si>
    <t>6D - CX. SUL - SIVIERO / ZANANDREA - CAXIAS DO SUL</t>
  </si>
  <si>
    <t>6E - CX. SUL - SIVIERO / PEDROTTI - CAXIAS DO SUL</t>
  </si>
  <si>
    <t>6F - CAXIAS DO SUL - FAMÍLIA STEDILE - CAXIAS DO SUL</t>
  </si>
  <si>
    <t>7 - CANELA I - CANELA</t>
  </si>
  <si>
    <t>7 - CANELA II - CANELA</t>
  </si>
  <si>
    <t>7 - CANELA III - CANELA</t>
  </si>
  <si>
    <t>7 - CANELA IV - CANELA</t>
  </si>
  <si>
    <t>8A - VIAMÃO - MARCELO GAMBOGI - VIAMÃO</t>
  </si>
  <si>
    <t>8B - VIAMÃO - SURREAX/MONTAINE - VIAMÃO</t>
  </si>
  <si>
    <t>8C - VIAMÃO - VIANÓPOLIS - VIAMÃO</t>
  </si>
  <si>
    <t>9A - PELOTAS - RESIDENCIAL RCL - PELOTAS</t>
  </si>
  <si>
    <t>9B - PELOTAS - INDUSTRIAL RCL - PELOTAS</t>
  </si>
  <si>
    <t>10C - RIO GRANDE - AUGUSTO OTERO - RIO GRANDE DO SUL</t>
  </si>
  <si>
    <t>CHACARA PARAISO - UBERABA</t>
  </si>
  <si>
    <t>11 - ALVORADA - ALVORADA</t>
  </si>
  <si>
    <t>12 - SAPIRANGA - SAPIRANGA</t>
  </si>
  <si>
    <t>13 - TORRES - TORRES</t>
  </si>
  <si>
    <t>14A - GUARAPUAVA - 41HA (ELDORADO I) - GUARAPUAVA</t>
  </si>
  <si>
    <t>14B - GUARAPUAVA - 24HA (ELDORADO II) - GUARAPUAVA</t>
  </si>
  <si>
    <t>15 - VITORINO - 64HA - VITORINO</t>
  </si>
  <si>
    <t>15 - VITORINO - 64HA II - VITORINO</t>
  </si>
  <si>
    <t>6G - CAXIAS DO SUL - FAMÍLIA STEDILE</t>
  </si>
  <si>
    <t>9C - PELOTAS - INDUSTRIAL RCL II</t>
  </si>
  <si>
    <t>12B - SAPIRANGA</t>
  </si>
  <si>
    <t>Ativo</t>
  </si>
  <si>
    <t>Empreendimentos</t>
  </si>
  <si>
    <t>Qtde</t>
  </si>
  <si>
    <t>SÃO MIGUEL DOS CAMPOS</t>
  </si>
  <si>
    <t>ALAGOINHAS</t>
  </si>
  <si>
    <t>PORANGATU</t>
  </si>
  <si>
    <t>RIO VERDE</t>
  </si>
  <si>
    <t>ÁGUAS LINDAS DE GOIÁS</t>
  </si>
  <si>
    <t>NOVA SERRANA</t>
  </si>
  <si>
    <t>UBERABA</t>
  </si>
  <si>
    <t>ALTA FLORESTA</t>
  </si>
  <si>
    <t>VÁRZEA GRANDE</t>
  </si>
  <si>
    <t>CANAÃ DOS CARAJÁS</t>
  </si>
  <si>
    <t>ELDORADO DOS CARAJÁS</t>
  </si>
  <si>
    <t>ITAITUBA</t>
  </si>
  <si>
    <t>MARABÁ</t>
  </si>
  <si>
    <t>PARAUAPEBAS</t>
  </si>
  <si>
    <t>TUCUMÃ</t>
  </si>
  <si>
    <t>TUCURUÍ</t>
  </si>
  <si>
    <t>MACAÉ</t>
  </si>
  <si>
    <t>RIO WATER PLANET</t>
  </si>
  <si>
    <t>XERÉM</t>
  </si>
  <si>
    <t>SÃO GONÇALO DO AMARANTE</t>
  </si>
  <si>
    <t>RIO GRANDE</t>
  </si>
  <si>
    <t>ALVARES MACHADO</t>
  </si>
  <si>
    <t>FERNANDÓPOLIS</t>
  </si>
  <si>
    <t>GURUPI</t>
  </si>
  <si>
    <t>PORTO NACIONAL</t>
  </si>
  <si>
    <t>MIRAMONTES EMPREENDIMENTOS IMOBILIÁRIOS LTDA</t>
  </si>
  <si>
    <t>UBERLÃNDIA</t>
  </si>
  <si>
    <t>CONDOMINÍO PORSCHE</t>
  </si>
  <si>
    <t>MAP134</t>
  </si>
  <si>
    <t>MUNARO EMPREENDIMENTOS IMOBILIÁRIOS LTDA</t>
  </si>
  <si>
    <t>Status da área</t>
  </si>
  <si>
    <t>Estudo de viabilidade</t>
  </si>
  <si>
    <t>LandBank</t>
  </si>
  <si>
    <t>GUARANTÃ DO NORTE</t>
  </si>
  <si>
    <t>PERGENTINO DE VASCONCELOS JUNIOR</t>
  </si>
  <si>
    <t>MAP135</t>
  </si>
  <si>
    <t>MAP136</t>
  </si>
  <si>
    <t>Resumo Executivo</t>
  </si>
  <si>
    <t>Cidades</t>
  </si>
  <si>
    <t>Estados (UF)</t>
  </si>
  <si>
    <t>Área Total</t>
  </si>
  <si>
    <t>VGV Total BT</t>
  </si>
  <si>
    <t>cidade</t>
  </si>
  <si>
    <t>uf</t>
  </si>
  <si>
    <t>VGV Total</t>
  </si>
  <si>
    <t>PENDENCIA</t>
  </si>
  <si>
    <t>Inativo</t>
  </si>
  <si>
    <t>Tipo de Contrato</t>
  </si>
  <si>
    <t>Compra e Venda</t>
  </si>
  <si>
    <t>Permuta</t>
  </si>
  <si>
    <t>Arrematação judicial</t>
  </si>
  <si>
    <t>Sim</t>
  </si>
  <si>
    <t>Parceria</t>
  </si>
  <si>
    <t>Aquisição de Cotas</t>
  </si>
  <si>
    <t>Valor de Compra da Área - Aquisição
(R$mm)</t>
  </si>
  <si>
    <t>Participação Terreneiro
(não paga obra)</t>
  </si>
  <si>
    <t>Participação de Sócios Minoritários
(paga obra)</t>
  </si>
  <si>
    <t>MAP137</t>
  </si>
  <si>
    <t>MAP138</t>
  </si>
  <si>
    <t>CENTRO-OESTE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</si>
</sst>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&quot;Ativo&quot;;\-#,##0;[Red]&quot;Inativo&quot;"/>
    <numFmt numFmtId="169" formatCode="_-&quot;R$&quot;\ * #,##0_-;\-&quot;R$&quot;\ * #,##0_-;_-&quot;R$&quot;\ * &quot;-&quot;??_-;_-@_-"/>
    <numFmt numFmtId="170" formatCode="_-* #,##0_-;\-* #,##0_-;_-* &quot;-&quot;??_-;_-@_-"/>
    <numFmt numFmtId="171" formatCode="0.0%"/>
    <numFmt numFmtId="172" formatCode="#,##0.00&quot;x&quot;"/>
    <numFmt numFmtId="173" formatCode="_-&quot;R$&quot;\ * #,##0,_-;\-&quot;R$&quot;\ * #,##0_-;_-&quot;R$&quot;\ * &quot;-&quot;??_-;_-@_-"/>
  </numFmts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FF"/>
      <name val="Inter"/>
    </font>
    <font>
      <sz val="10"/>
      <color theme="1"/>
      <name val="Inter"/>
    </font>
    <font>
      <sz val="10"/>
      <name val="Inter"/>
    </font>
    <font>
      <sz val="10"/>
      <color rgb="FFE5E4D9"/>
      <name val="Inter"/>
    </font>
    <font>
      <b/>
      <sz val="10"/>
      <color rgb="FFE5E4D9"/>
      <name val="Inter"/>
    </font>
    <font>
      <u/>
      <sz val="10"/>
      <name val="Inter"/>
    </font>
    <font>
      <sz val="10"/>
      <color rgb="FF215ED4"/>
      <name val="Inte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E550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8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37" fontId="6" fillId="3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 indent="1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left" indent="1"/>
    </xf>
    <xf numFmtId="37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4" fillId="0" borderId="0" xfId="1" applyFont="1" applyFill="1" applyBorder="1" applyAlignment="1">
      <alignment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indent="1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9" fontId="11" fillId="0" borderId="0" xfId="3" applyNumberFormat="1" applyFont="1" applyFill="1" applyBorder="1" applyAlignment="1">
      <alignment horizontal="center" vertical="center"/>
    </xf>
    <xf numFmtId="0" fontId="11" fillId="0" borderId="0" xfId="1" applyFont="1" applyFill="1" applyBorder="1"/>
    <xf numFmtId="0" fontId="11" fillId="0" borderId="0" xfId="1" applyFont="1" applyFill="1" applyBorder="1" applyAlignment="1"/>
    <xf numFmtId="165" fontId="15" fillId="0" borderId="0" xfId="0" applyNumberFormat="1" applyFont="1" applyAlignment="1">
      <alignment horizontal="center" vertical="center"/>
    </xf>
    <xf numFmtId="173" fontId="11" fillId="0" borderId="0" xfId="3" applyNumberFormat="1" applyFont="1" applyFill="1" applyBorder="1" applyAlignment="1">
      <alignment horizontal="right" vertical="center"/>
    </xf>
    <xf numFmtId="168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indent="1"/>
    </xf>
    <xf numFmtId="37" fontId="11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73" fontId="11" fillId="2" borderId="0" xfId="3" applyNumberFormat="1" applyFont="1" applyFill="1" applyBorder="1" applyAlignment="1">
      <alignment horizontal="right" vertical="center"/>
    </xf>
    <xf numFmtId="49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9" fontId="11" fillId="2" borderId="0" xfId="3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170" fontId="15" fillId="2" borderId="0" xfId="2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37" fontId="15" fillId="2" borderId="0" xfId="0" applyNumberFormat="1" applyFont="1" applyFill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9" fontId="15" fillId="2" borderId="0" xfId="3" applyNumberFormat="1" applyFont="1" applyFill="1" applyBorder="1" applyAlignment="1">
      <alignment horizontal="center" vertical="center"/>
    </xf>
    <xf numFmtId="171" fontId="15" fillId="0" borderId="0" xfId="4" applyNumberFormat="1" applyFont="1" applyFill="1" applyBorder="1" applyAlignment="1">
      <alignment horizontal="center" vertical="center"/>
    </xf>
    <xf numFmtId="172" fontId="15" fillId="0" borderId="0" xfId="2" applyNumberFormat="1" applyFont="1" applyFill="1" applyBorder="1"/>
    <xf numFmtId="171" fontId="15" fillId="2" borderId="0" xfId="4" applyNumberFormat="1" applyFont="1" applyFill="1" applyBorder="1" applyAlignment="1">
      <alignment horizontal="center" vertical="center"/>
    </xf>
    <xf numFmtId="172" fontId="15" fillId="2" borderId="0" xfId="2" applyNumberFormat="1" applyFont="1" applyFill="1" applyBorder="1"/>
    <xf numFmtId="172" fontId="15" fillId="6" borderId="0" xfId="2" applyNumberFormat="1" applyFont="1" applyFill="1" applyBorder="1"/>
    <xf numFmtId="168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indent="1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173" fontId="11" fillId="6" borderId="0" xfId="3" applyNumberFormat="1" applyFont="1" applyFill="1" applyBorder="1" applyAlignment="1">
      <alignment horizontal="right" vertical="center"/>
    </xf>
    <xf numFmtId="37" fontId="11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37" fontId="15" fillId="6" borderId="0" xfId="0" applyNumberFormat="1" applyFont="1" applyFill="1" applyAlignment="1">
      <alignment horizontal="center" vertical="center"/>
    </xf>
    <xf numFmtId="170" fontId="15" fillId="6" borderId="0" xfId="2" applyNumberFormat="1" applyFont="1" applyFill="1" applyBorder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9" fontId="11" fillId="6" borderId="0" xfId="3" applyNumberFormat="1" applyFont="1" applyFill="1" applyBorder="1" applyAlignment="1">
      <alignment horizontal="center" vertical="center"/>
    </xf>
    <xf numFmtId="171" fontId="15" fillId="6" borderId="0" xfId="4" applyNumberFormat="1" applyFont="1" applyFill="1" applyBorder="1" applyAlignment="1">
      <alignment horizontal="center" vertical="center"/>
    </xf>
    <xf numFmtId="169" fontId="15" fillId="6" borderId="0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7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3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5">
    <cellStyle name="Hiperlink" xfId="1" builtinId="8"/>
    <cellStyle name="Moeda" xfId="3" builtinId="4"/>
    <cellStyle name="Normal" xfId="0" builtinId="0"/>
    <cellStyle name="Porcentagem" xfId="4" builtinId="5"/>
    <cellStyle name="Vírgula" xfId="2" builtinId="3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2F2F2"/>
      <color rgb="FFE5E4D9"/>
      <color rgb="FF215ED4"/>
      <color rgb="FF3E550B"/>
      <color rgb="FF0000FF"/>
      <color rgb="FFFFFF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3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3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Q244"/>
  <sheetViews>
    <sheetView showGridLines="0" tabSelected="1" topLeftCell="K1" zoomScale="110" zoomScaleNormal="110" workbookViewId="0">
      <pane ySplit="1" topLeftCell="A13" activePane="bottomLeft" state="frozen"/>
      <selection pane="bottomLeft" activeCell="L23" sqref="L23"/>
    </sheetView>
  </sheetViews>
  <sheetFormatPr defaultColWidth="9.1796875" defaultRowHeight="12.5" outlineLevelCol="1"/>
  <cols>
    <col min="1" max="1" width="15.1796875" style="17" hidden="1" customWidth="1" outlineLevel="1"/>
    <col min="2" max="2" width="58.453125" style="23" hidden="1" customWidth="1" outlineLevel="1"/>
    <col min="3" max="3" width="27.81640625" style="17" hidden="1" customWidth="1" outlineLevel="1"/>
    <col min="4" max="4" width="10.54296875" style="17" hidden="1" customWidth="1" collapsed="1"/>
    <col min="5" max="5" width="23.1796875" style="19" hidden="1" customWidth="1"/>
    <col min="6" max="6" width="18.1796875" style="17" hidden="1" customWidth="1" outlineLevel="1"/>
    <col min="7" max="7" width="16.26953125" style="17" hidden="1" customWidth="1" outlineLevel="1"/>
    <col min="8" max="9" width="10.54296875" style="17" hidden="1" customWidth="1" outlineLevel="1"/>
    <col min="10" max="10" width="11.81640625" style="17" hidden="1" customWidth="1" outlineLevel="1"/>
    <col min="11" max="11" width="17.453125" style="23" bestFit="1" customWidth="1" collapsed="1"/>
    <col min="12" max="12" width="28.54296875" style="17" bestFit="1" customWidth="1"/>
    <col min="13" max="13" width="11.81640625" style="21" customWidth="1"/>
    <col min="14" max="14" width="53.453125" style="17" bestFit="1" customWidth="1"/>
    <col min="15" max="15" width="21.7265625" style="17" bestFit="1" customWidth="1"/>
    <col min="16" max="16" width="18.1796875" style="17" customWidth="1"/>
    <col min="17" max="17" width="16.7265625" style="21" customWidth="1"/>
    <col min="18" max="18" width="10.7265625" style="21" customWidth="1"/>
    <col min="19" max="19" width="9.1796875" style="21" customWidth="1"/>
    <col min="20" max="20" width="12" style="17" customWidth="1"/>
    <col min="21" max="21" width="11.81640625" style="17" customWidth="1"/>
    <col min="22" max="23" width="12.81640625" style="17" customWidth="1"/>
    <col min="24" max="24" width="11.1796875" style="17" customWidth="1"/>
    <col min="25" max="25" width="14" style="17" customWidth="1"/>
    <col min="26" max="26" width="10.1796875" style="17" customWidth="1"/>
    <col min="27" max="27" width="10.81640625" style="17" customWidth="1"/>
    <col min="28" max="28" width="12.81640625" style="17" customWidth="1"/>
    <col min="29" max="29" width="14.7265625" style="17" bestFit="1" customWidth="1"/>
    <col min="30" max="30" width="11.54296875" style="17" customWidth="1"/>
    <col min="31" max="31" width="11.81640625" style="17" customWidth="1"/>
    <col min="32" max="32" width="11.1796875" style="17" customWidth="1"/>
    <col min="33" max="33" width="12.1796875" style="17" customWidth="1"/>
    <col min="34" max="34" width="8.81640625" style="17" bestFit="1" customWidth="1"/>
    <col min="35" max="35" width="8.54296875" style="17" bestFit="1" customWidth="1"/>
    <col min="36" max="36" width="10.81640625" style="17" customWidth="1"/>
    <col min="37" max="37" width="9.54296875" style="17" customWidth="1"/>
    <col min="38" max="39" width="9" style="17" customWidth="1"/>
    <col min="40" max="40" width="18.81640625" style="17" customWidth="1"/>
    <col min="41" max="41" width="14.453125" style="17" customWidth="1"/>
    <col min="42" max="42" width="12.81640625" style="17" customWidth="1"/>
    <col min="43" max="43" width="12.54296875" style="17" bestFit="1" customWidth="1"/>
    <col min="44" max="16384" width="9.1796875" style="17"/>
  </cols>
  <sheetData>
    <row r="1" spans="1:43" ht="93" customHeight="1">
      <c r="A1" s="12" t="s">
        <v>430</v>
      </c>
      <c r="B1" s="13" t="s">
        <v>0</v>
      </c>
      <c r="C1" s="12" t="s">
        <v>336</v>
      </c>
      <c r="D1" s="12" t="s">
        <v>1</v>
      </c>
      <c r="E1" s="14" t="s">
        <v>768</v>
      </c>
      <c r="F1" s="15" t="s">
        <v>559</v>
      </c>
      <c r="G1" s="15" t="s">
        <v>556</v>
      </c>
      <c r="H1" s="15" t="s">
        <v>554</v>
      </c>
      <c r="I1" s="15" t="s">
        <v>555</v>
      </c>
      <c r="J1" s="15" t="s">
        <v>547</v>
      </c>
      <c r="K1" s="13" t="s">
        <v>2</v>
      </c>
      <c r="L1" s="13" t="s">
        <v>3</v>
      </c>
      <c r="M1" s="15" t="s">
        <v>587</v>
      </c>
      <c r="N1" s="13" t="s">
        <v>4</v>
      </c>
      <c r="O1" s="16" t="s">
        <v>785</v>
      </c>
      <c r="P1" s="16" t="s">
        <v>792</v>
      </c>
      <c r="Q1" s="15" t="s">
        <v>5</v>
      </c>
      <c r="R1" s="15" t="s">
        <v>569</v>
      </c>
      <c r="S1" s="15" t="s">
        <v>6</v>
      </c>
      <c r="T1" s="15" t="s">
        <v>13</v>
      </c>
      <c r="U1" s="15" t="s">
        <v>7</v>
      </c>
      <c r="V1" s="15" t="s">
        <v>793</v>
      </c>
      <c r="W1" s="15" t="s">
        <v>8</v>
      </c>
      <c r="X1" s="15" t="s">
        <v>9</v>
      </c>
      <c r="Y1" s="15" t="s">
        <v>10</v>
      </c>
      <c r="Z1" s="15" t="s">
        <v>11</v>
      </c>
      <c r="AA1" s="15" t="s">
        <v>12</v>
      </c>
      <c r="AB1" s="15" t="s">
        <v>794</v>
      </c>
      <c r="AC1" s="15" t="s">
        <v>551</v>
      </c>
      <c r="AD1" s="15" t="s">
        <v>14</v>
      </c>
      <c r="AE1" s="15" t="s">
        <v>15</v>
      </c>
      <c r="AF1" s="15" t="s">
        <v>16</v>
      </c>
      <c r="AG1" s="15" t="s">
        <v>17</v>
      </c>
      <c r="AH1" s="15" t="s">
        <v>549</v>
      </c>
      <c r="AI1" s="15" t="s">
        <v>18</v>
      </c>
      <c r="AJ1" s="15" t="s">
        <v>19</v>
      </c>
      <c r="AK1" s="15" t="s">
        <v>550</v>
      </c>
      <c r="AL1" s="15" t="s">
        <v>20</v>
      </c>
      <c r="AM1" s="15" t="s">
        <v>21</v>
      </c>
      <c r="AN1" s="15" t="s">
        <v>552</v>
      </c>
      <c r="AO1" s="15" t="s">
        <v>553</v>
      </c>
      <c r="AP1" s="15" t="s">
        <v>561</v>
      </c>
      <c r="AQ1" s="15" t="s">
        <v>548</v>
      </c>
    </row>
    <row r="2" spans="1:43">
      <c r="A2" s="22" t="s">
        <v>431</v>
      </c>
      <c r="B2" s="22" t="s">
        <v>325</v>
      </c>
      <c r="C2" s="24" t="s">
        <v>351</v>
      </c>
      <c r="D2" s="25">
        <v>1</v>
      </c>
      <c r="E2" s="26" t="s">
        <v>770</v>
      </c>
      <c r="F2" s="20"/>
      <c r="G2" s="27">
        <v>2040</v>
      </c>
      <c r="H2" s="20"/>
      <c r="I2" s="20"/>
      <c r="J2" s="28">
        <v>355</v>
      </c>
      <c r="K2" s="29" t="s">
        <v>797</v>
      </c>
      <c r="L2" s="29" t="s">
        <v>585</v>
      </c>
      <c r="M2" s="28" t="s">
        <v>600</v>
      </c>
      <c r="N2" s="29" t="s">
        <v>192</v>
      </c>
      <c r="O2" s="29" t="s">
        <v>788</v>
      </c>
      <c r="P2" s="37">
        <v>11775750</v>
      </c>
      <c r="Q2" s="30" t="s">
        <v>25</v>
      </c>
      <c r="R2" s="30" t="s">
        <v>789</v>
      </c>
      <c r="S2" s="28">
        <v>2026</v>
      </c>
      <c r="T2" s="32">
        <v>46203</v>
      </c>
      <c r="U2" s="31">
        <v>0.75</v>
      </c>
      <c r="V2" s="31">
        <v>0.25</v>
      </c>
      <c r="W2" s="36">
        <f t="shared" ref="W2:W51" si="0">SUM(U2:V2)</f>
        <v>1</v>
      </c>
      <c r="X2" s="31">
        <v>0.05</v>
      </c>
      <c r="Y2" s="31">
        <v>9.0000000000000011E-2</v>
      </c>
      <c r="Z2" s="31">
        <v>6.8000000000000005E-2</v>
      </c>
      <c r="AA2" s="52">
        <v>0.19800000000000001</v>
      </c>
      <c r="AB2" s="31"/>
      <c r="AC2" s="50">
        <f t="shared" ref="AC2:AC12" si="1">AI2*AJ2</f>
        <v>222798.36499999999</v>
      </c>
      <c r="AD2" s="32"/>
      <c r="AE2" s="20">
        <f t="shared" ref="AE2:AE51" si="2">P2/10^6</f>
        <v>11.77575</v>
      </c>
      <c r="AF2" s="52">
        <f t="shared" ref="AF2:AF51" si="3">IF(AL2=0,0,AE2/AL2)</f>
        <v>0.10786498750627213</v>
      </c>
      <c r="AG2" s="54">
        <f t="shared" ref="AG2:AG51" si="4">(AH2*AI2*AJ2)/10^6</f>
        <v>32.974158019999997</v>
      </c>
      <c r="AH2" s="20">
        <v>148</v>
      </c>
      <c r="AI2" s="20">
        <v>305.20323972602739</v>
      </c>
      <c r="AJ2" s="20">
        <v>730</v>
      </c>
      <c r="AK2" s="20">
        <v>490</v>
      </c>
      <c r="AL2" s="54">
        <f t="shared" ref="AL2:AL51" si="5">(AK2*AJ2*AI2)/10^6</f>
        <v>109.17119885</v>
      </c>
      <c r="AM2" s="54">
        <f t="shared" ref="AM2:AM51" si="6">AL2*U2</f>
        <v>81.878399137499997</v>
      </c>
      <c r="AN2" s="33">
        <v>149549.58746575343</v>
      </c>
      <c r="AO2" s="56">
        <f t="shared" ref="AO2:AO51" si="7">AH2*AI2</f>
        <v>45170.079479452055</v>
      </c>
      <c r="AP2" s="58">
        <f t="shared" ref="AP2:AP51" si="8">U2+AB2</f>
        <v>0.75</v>
      </c>
      <c r="AQ2" s="59">
        <f t="shared" ref="AQ2:AQ51" si="9">AL2*AP2/(AG2+AE2)</f>
        <v>1.8296886577041951</v>
      </c>
    </row>
    <row r="3" spans="1:43">
      <c r="A3" s="22" t="s">
        <v>431</v>
      </c>
      <c r="B3" s="22" t="s">
        <v>326</v>
      </c>
      <c r="C3" s="24" t="s">
        <v>351</v>
      </c>
      <c r="D3" s="38">
        <v>1</v>
      </c>
      <c r="E3" s="39" t="s">
        <v>770</v>
      </c>
      <c r="F3" s="40"/>
      <c r="G3" s="41">
        <v>2040</v>
      </c>
      <c r="H3" s="40"/>
      <c r="I3" s="40"/>
      <c r="J3" s="42">
        <v>356</v>
      </c>
      <c r="K3" s="43" t="s">
        <v>797</v>
      </c>
      <c r="L3" s="43" t="s">
        <v>585</v>
      </c>
      <c r="M3" s="42" t="s">
        <v>600</v>
      </c>
      <c r="N3" s="43" t="s">
        <v>193</v>
      </c>
      <c r="O3" s="43" t="s">
        <v>788</v>
      </c>
      <c r="P3" s="44">
        <v>11775750</v>
      </c>
      <c r="Q3" s="45" t="s">
        <v>25</v>
      </c>
      <c r="R3" s="45" t="s">
        <v>789</v>
      </c>
      <c r="S3" s="42">
        <v>2028</v>
      </c>
      <c r="T3" s="46">
        <v>46934</v>
      </c>
      <c r="U3" s="47">
        <v>0.75</v>
      </c>
      <c r="V3" s="47">
        <v>0.25</v>
      </c>
      <c r="W3" s="48">
        <f t="shared" si="0"/>
        <v>1</v>
      </c>
      <c r="X3" s="47">
        <v>0.05</v>
      </c>
      <c r="Y3" s="47">
        <v>9.0000000000000011E-2</v>
      </c>
      <c r="Z3" s="47">
        <v>6.8000000000000005E-2</v>
      </c>
      <c r="AA3" s="53">
        <v>0.19800000000000001</v>
      </c>
      <c r="AB3" s="47"/>
      <c r="AC3" s="51">
        <f t="shared" si="1"/>
        <v>222798.36499999996</v>
      </c>
      <c r="AD3" s="46"/>
      <c r="AE3" s="40">
        <f t="shared" si="2"/>
        <v>11.77575</v>
      </c>
      <c r="AF3" s="53">
        <f t="shared" si="3"/>
        <v>0.10786498750627212</v>
      </c>
      <c r="AG3" s="55">
        <f t="shared" si="4"/>
        <v>32.974158019999997</v>
      </c>
      <c r="AH3" s="40">
        <v>148</v>
      </c>
      <c r="AI3" s="40">
        <v>304.78572503419969</v>
      </c>
      <c r="AJ3" s="40">
        <v>731</v>
      </c>
      <c r="AK3" s="40">
        <v>490.00000000000006</v>
      </c>
      <c r="AL3" s="55">
        <f t="shared" si="5"/>
        <v>109.17119885000001</v>
      </c>
      <c r="AM3" s="55">
        <f t="shared" si="6"/>
        <v>81.878399137500011</v>
      </c>
      <c r="AN3" s="49">
        <v>149345.00526675786</v>
      </c>
      <c r="AO3" s="57">
        <f t="shared" si="7"/>
        <v>45108.287305061553</v>
      </c>
      <c r="AP3" s="60">
        <f t="shared" si="8"/>
        <v>0.75</v>
      </c>
      <c r="AQ3" s="61">
        <f t="shared" si="9"/>
        <v>1.8296886577041955</v>
      </c>
    </row>
    <row r="4" spans="1:43">
      <c r="A4" s="22" t="s">
        <v>542</v>
      </c>
      <c r="B4" s="22" t="s">
        <v>328</v>
      </c>
      <c r="C4" s="24" t="s">
        <v>349</v>
      </c>
      <c r="D4" s="25">
        <v>1</v>
      </c>
      <c r="E4" s="26" t="s">
        <v>770</v>
      </c>
      <c r="F4" s="20"/>
      <c r="G4" s="27">
        <v>2770</v>
      </c>
      <c r="H4" s="20"/>
      <c r="I4" s="20"/>
      <c r="J4" s="28">
        <v>358</v>
      </c>
      <c r="K4" s="29" t="s">
        <v>568</v>
      </c>
      <c r="L4" s="29" t="s">
        <v>196</v>
      </c>
      <c r="M4" s="28" t="s">
        <v>600</v>
      </c>
      <c r="N4" s="29" t="s">
        <v>197</v>
      </c>
      <c r="O4" s="29" t="s">
        <v>790</v>
      </c>
      <c r="P4" s="37">
        <v>0</v>
      </c>
      <c r="Q4" s="30" t="s">
        <v>25</v>
      </c>
      <c r="R4" s="30" t="s">
        <v>26</v>
      </c>
      <c r="S4" s="28">
        <v>2030</v>
      </c>
      <c r="T4" s="32">
        <v>47848</v>
      </c>
      <c r="U4" s="31">
        <v>0.8</v>
      </c>
      <c r="V4" s="31"/>
      <c r="W4" s="36">
        <f t="shared" si="0"/>
        <v>0.8</v>
      </c>
      <c r="X4" s="31"/>
      <c r="Y4" s="31"/>
      <c r="Z4" s="31"/>
      <c r="AA4" s="52">
        <v>0.19800000000000001</v>
      </c>
      <c r="AB4" s="31">
        <v>0.19999999999999996</v>
      </c>
      <c r="AC4" s="50">
        <f t="shared" si="1"/>
        <v>260020.40000000002</v>
      </c>
      <c r="AD4" s="32"/>
      <c r="AE4" s="20">
        <f t="shared" si="2"/>
        <v>0</v>
      </c>
      <c r="AF4" s="52">
        <f t="shared" si="3"/>
        <v>0</v>
      </c>
      <c r="AG4" s="54">
        <f t="shared" si="4"/>
        <v>38.483019200000001</v>
      </c>
      <c r="AH4" s="20">
        <v>148</v>
      </c>
      <c r="AI4" s="20">
        <v>296.82694063926942</v>
      </c>
      <c r="AJ4" s="20">
        <v>876</v>
      </c>
      <c r="AK4" s="20">
        <v>500</v>
      </c>
      <c r="AL4" s="54">
        <f t="shared" si="5"/>
        <v>130.01020000000003</v>
      </c>
      <c r="AM4" s="54">
        <f t="shared" si="6"/>
        <v>104.00816000000003</v>
      </c>
      <c r="AN4" s="33">
        <v>148413.47031963471</v>
      </c>
      <c r="AO4" s="56">
        <f t="shared" si="7"/>
        <v>43930.387214611874</v>
      </c>
      <c r="AP4" s="58">
        <f t="shared" si="8"/>
        <v>1</v>
      </c>
      <c r="AQ4" s="59">
        <f t="shared" si="9"/>
        <v>3.378378378378379</v>
      </c>
    </row>
    <row r="5" spans="1:43">
      <c r="A5" s="22" t="s">
        <v>542</v>
      </c>
      <c r="B5" s="22" t="s">
        <v>329</v>
      </c>
      <c r="C5" s="24" t="s">
        <v>349</v>
      </c>
      <c r="D5" s="38">
        <v>1</v>
      </c>
      <c r="E5" s="39" t="s">
        <v>770</v>
      </c>
      <c r="F5" s="40"/>
      <c r="G5" s="41">
        <v>2770</v>
      </c>
      <c r="H5" s="40"/>
      <c r="I5" s="40"/>
      <c r="J5" s="42">
        <v>359</v>
      </c>
      <c r="K5" s="43" t="s">
        <v>568</v>
      </c>
      <c r="L5" s="43" t="s">
        <v>196</v>
      </c>
      <c r="M5" s="42" t="s">
        <v>600</v>
      </c>
      <c r="N5" s="43" t="s">
        <v>198</v>
      </c>
      <c r="O5" s="43" t="s">
        <v>790</v>
      </c>
      <c r="P5" s="44">
        <v>0</v>
      </c>
      <c r="Q5" s="45" t="s">
        <v>25</v>
      </c>
      <c r="R5" s="45" t="s">
        <v>26</v>
      </c>
      <c r="S5" s="42">
        <v>2029</v>
      </c>
      <c r="T5" s="46">
        <v>47483</v>
      </c>
      <c r="U5" s="47">
        <v>0.8</v>
      </c>
      <c r="V5" s="47"/>
      <c r="W5" s="48">
        <f t="shared" si="0"/>
        <v>0.8</v>
      </c>
      <c r="X5" s="47"/>
      <c r="Y5" s="47"/>
      <c r="Z5" s="47"/>
      <c r="AA5" s="53">
        <v>0.19800000000000001</v>
      </c>
      <c r="AB5" s="47">
        <v>0.19999999999999996</v>
      </c>
      <c r="AC5" s="51">
        <f t="shared" si="1"/>
        <v>134090.93</v>
      </c>
      <c r="AD5" s="46"/>
      <c r="AE5" s="40">
        <f t="shared" si="2"/>
        <v>0</v>
      </c>
      <c r="AF5" s="53">
        <f t="shared" si="3"/>
        <v>0</v>
      </c>
      <c r="AG5" s="55">
        <f t="shared" si="4"/>
        <v>19.845457639999996</v>
      </c>
      <c r="AH5" s="40">
        <v>148</v>
      </c>
      <c r="AI5" s="40">
        <v>292.13710239651414</v>
      </c>
      <c r="AJ5" s="40">
        <v>459</v>
      </c>
      <c r="AK5" s="40">
        <v>500</v>
      </c>
      <c r="AL5" s="55">
        <f t="shared" si="5"/>
        <v>67.045464999999993</v>
      </c>
      <c r="AM5" s="55">
        <f t="shared" si="6"/>
        <v>53.636371999999994</v>
      </c>
      <c r="AN5" s="49">
        <v>146068.55119825708</v>
      </c>
      <c r="AO5" s="57">
        <f t="shared" si="7"/>
        <v>43236.291154684091</v>
      </c>
      <c r="AP5" s="60">
        <f t="shared" si="8"/>
        <v>1</v>
      </c>
      <c r="AQ5" s="61">
        <f t="shared" si="9"/>
        <v>3.378378378378379</v>
      </c>
    </row>
    <row r="6" spans="1:43">
      <c r="A6" s="22" t="s">
        <v>542</v>
      </c>
      <c r="B6" s="22" t="s">
        <v>330</v>
      </c>
      <c r="C6" s="24" t="s">
        <v>349</v>
      </c>
      <c r="D6" s="25">
        <v>1</v>
      </c>
      <c r="E6" s="26" t="s">
        <v>770</v>
      </c>
      <c r="F6" s="20"/>
      <c r="G6" s="27">
        <v>2770</v>
      </c>
      <c r="H6" s="20"/>
      <c r="I6" s="20"/>
      <c r="J6" s="28">
        <v>360</v>
      </c>
      <c r="K6" s="29" t="s">
        <v>568</v>
      </c>
      <c r="L6" s="29" t="s">
        <v>196</v>
      </c>
      <c r="M6" s="28" t="s">
        <v>600</v>
      </c>
      <c r="N6" s="29" t="s">
        <v>199</v>
      </c>
      <c r="O6" s="29" t="s">
        <v>790</v>
      </c>
      <c r="P6" s="37">
        <v>0</v>
      </c>
      <c r="Q6" s="30" t="s">
        <v>25</v>
      </c>
      <c r="R6" s="30" t="s">
        <v>26</v>
      </c>
      <c r="S6" s="28">
        <v>2026</v>
      </c>
      <c r="T6" s="32">
        <v>46295</v>
      </c>
      <c r="U6" s="31">
        <v>0.8</v>
      </c>
      <c r="V6" s="31"/>
      <c r="W6" s="36">
        <f t="shared" si="0"/>
        <v>0.8</v>
      </c>
      <c r="X6" s="31"/>
      <c r="Y6" s="31"/>
      <c r="Z6" s="31"/>
      <c r="AA6" s="52">
        <v>0.19800000000000001</v>
      </c>
      <c r="AB6" s="31">
        <v>0.19999999999999996</v>
      </c>
      <c r="AC6" s="50">
        <f t="shared" si="1"/>
        <v>72284.41</v>
      </c>
      <c r="AD6" s="32"/>
      <c r="AE6" s="20">
        <f t="shared" si="2"/>
        <v>0</v>
      </c>
      <c r="AF6" s="52">
        <f t="shared" si="3"/>
        <v>0</v>
      </c>
      <c r="AG6" s="54">
        <f t="shared" si="4"/>
        <v>10.69809268</v>
      </c>
      <c r="AH6" s="20">
        <v>148</v>
      </c>
      <c r="AI6" s="20">
        <v>384.49154255319149</v>
      </c>
      <c r="AJ6" s="20">
        <v>188</v>
      </c>
      <c r="AK6" s="20">
        <v>500</v>
      </c>
      <c r="AL6" s="54">
        <f t="shared" si="5"/>
        <v>36.142204999999997</v>
      </c>
      <c r="AM6" s="54">
        <f t="shared" si="6"/>
        <v>28.913764</v>
      </c>
      <c r="AN6" s="33">
        <v>192245.77127659574</v>
      </c>
      <c r="AO6" s="56">
        <f t="shared" si="7"/>
        <v>56904.748297872342</v>
      </c>
      <c r="AP6" s="58">
        <f t="shared" si="8"/>
        <v>1</v>
      </c>
      <c r="AQ6" s="59">
        <f t="shared" si="9"/>
        <v>3.3783783783783781</v>
      </c>
    </row>
    <row r="7" spans="1:43">
      <c r="A7" s="22" t="s">
        <v>542</v>
      </c>
      <c r="B7" s="22" t="s">
        <v>331</v>
      </c>
      <c r="C7" s="24" t="s">
        <v>349</v>
      </c>
      <c r="D7" s="38">
        <v>1</v>
      </c>
      <c r="E7" s="39" t="s">
        <v>770</v>
      </c>
      <c r="F7" s="40"/>
      <c r="G7" s="41">
        <v>2770</v>
      </c>
      <c r="H7" s="40"/>
      <c r="I7" s="40"/>
      <c r="J7" s="42">
        <v>361</v>
      </c>
      <c r="K7" s="43" t="s">
        <v>568</v>
      </c>
      <c r="L7" s="43" t="s">
        <v>196</v>
      </c>
      <c r="M7" s="42" t="s">
        <v>600</v>
      </c>
      <c r="N7" s="43" t="s">
        <v>200</v>
      </c>
      <c r="O7" s="43" t="s">
        <v>790</v>
      </c>
      <c r="P7" s="44">
        <v>0</v>
      </c>
      <c r="Q7" s="45" t="s">
        <v>25</v>
      </c>
      <c r="R7" s="45" t="s">
        <v>26</v>
      </c>
      <c r="S7" s="42">
        <v>2026</v>
      </c>
      <c r="T7" s="46">
        <v>46295</v>
      </c>
      <c r="U7" s="47">
        <v>0.8</v>
      </c>
      <c r="V7" s="47"/>
      <c r="W7" s="48">
        <f t="shared" si="0"/>
        <v>0.8</v>
      </c>
      <c r="X7" s="47"/>
      <c r="Y7" s="47"/>
      <c r="Z7" s="47"/>
      <c r="AA7" s="53">
        <v>0.19800000000000001</v>
      </c>
      <c r="AB7" s="47">
        <v>0.19999999999999996</v>
      </c>
      <c r="AC7" s="51">
        <f t="shared" si="1"/>
        <v>78369.0235042735</v>
      </c>
      <c r="AD7" s="46"/>
      <c r="AE7" s="40">
        <f t="shared" si="2"/>
        <v>0</v>
      </c>
      <c r="AF7" s="53">
        <f t="shared" si="3"/>
        <v>0</v>
      </c>
      <c r="AG7" s="55">
        <f t="shared" si="4"/>
        <v>11.598615478632476</v>
      </c>
      <c r="AH7" s="40">
        <v>148</v>
      </c>
      <c r="AI7" s="40">
        <v>279.88936965811962</v>
      </c>
      <c r="AJ7" s="40">
        <v>280</v>
      </c>
      <c r="AK7" s="40">
        <v>500</v>
      </c>
      <c r="AL7" s="55">
        <f t="shared" si="5"/>
        <v>39.184511752136743</v>
      </c>
      <c r="AM7" s="55">
        <f t="shared" si="6"/>
        <v>31.347609401709395</v>
      </c>
      <c r="AN7" s="49">
        <v>139944.68482905981</v>
      </c>
      <c r="AO7" s="57">
        <f t="shared" si="7"/>
        <v>41423.626709401702</v>
      </c>
      <c r="AP7" s="60">
        <f t="shared" si="8"/>
        <v>1</v>
      </c>
      <c r="AQ7" s="61">
        <f t="shared" si="9"/>
        <v>3.3783783783783781</v>
      </c>
    </row>
    <row r="8" spans="1:43">
      <c r="A8" s="22" t="s">
        <v>542</v>
      </c>
      <c r="B8" s="22" t="s">
        <v>332</v>
      </c>
      <c r="C8" s="24" t="s">
        <v>349</v>
      </c>
      <c r="D8" s="25">
        <v>1</v>
      </c>
      <c r="E8" s="26" t="s">
        <v>770</v>
      </c>
      <c r="F8" s="20"/>
      <c r="G8" s="27">
        <v>2770</v>
      </c>
      <c r="H8" s="20"/>
      <c r="I8" s="20"/>
      <c r="J8" s="28">
        <v>362</v>
      </c>
      <c r="K8" s="29" t="s">
        <v>568</v>
      </c>
      <c r="L8" s="29" t="s">
        <v>196</v>
      </c>
      <c r="M8" s="28" t="s">
        <v>600</v>
      </c>
      <c r="N8" s="29" t="s">
        <v>201</v>
      </c>
      <c r="O8" s="29" t="s">
        <v>790</v>
      </c>
      <c r="P8" s="37">
        <v>0</v>
      </c>
      <c r="Q8" s="30" t="s">
        <v>25</v>
      </c>
      <c r="R8" s="30" t="s">
        <v>26</v>
      </c>
      <c r="S8" s="28">
        <v>2028</v>
      </c>
      <c r="T8" s="32">
        <v>47118</v>
      </c>
      <c r="U8" s="31">
        <v>0.8</v>
      </c>
      <c r="V8" s="31"/>
      <c r="W8" s="36">
        <f t="shared" si="0"/>
        <v>0.8</v>
      </c>
      <c r="X8" s="31"/>
      <c r="Y8" s="31"/>
      <c r="Z8" s="31"/>
      <c r="AA8" s="52">
        <v>0.19800000000000001</v>
      </c>
      <c r="AB8" s="31">
        <v>0.19999999999999996</v>
      </c>
      <c r="AC8" s="50">
        <f t="shared" si="1"/>
        <v>183607.42649572651</v>
      </c>
      <c r="AD8" s="32"/>
      <c r="AE8" s="20">
        <f t="shared" si="2"/>
        <v>0</v>
      </c>
      <c r="AF8" s="52">
        <f t="shared" si="3"/>
        <v>0</v>
      </c>
      <c r="AG8" s="54">
        <f t="shared" si="4"/>
        <v>27.173899121367523</v>
      </c>
      <c r="AH8" s="20">
        <v>148</v>
      </c>
      <c r="AI8" s="20">
        <v>279.88936965811968</v>
      </c>
      <c r="AJ8" s="20">
        <v>656</v>
      </c>
      <c r="AK8" s="20">
        <v>500</v>
      </c>
      <c r="AL8" s="54">
        <f t="shared" si="5"/>
        <v>91.803713247863243</v>
      </c>
      <c r="AM8" s="54">
        <f t="shared" si="6"/>
        <v>73.4429705982906</v>
      </c>
      <c r="AN8" s="33">
        <v>139944.68482905984</v>
      </c>
      <c r="AO8" s="56">
        <f t="shared" si="7"/>
        <v>41423.626709401709</v>
      </c>
      <c r="AP8" s="58">
        <f t="shared" si="8"/>
        <v>1</v>
      </c>
      <c r="AQ8" s="59">
        <f t="shared" si="9"/>
        <v>3.3783783783783781</v>
      </c>
    </row>
    <row r="9" spans="1:43">
      <c r="A9" s="22" t="s">
        <v>542</v>
      </c>
      <c r="B9" s="22" t="s">
        <v>333</v>
      </c>
      <c r="C9" s="24" t="s">
        <v>349</v>
      </c>
      <c r="D9" s="38">
        <v>1</v>
      </c>
      <c r="E9" s="39" t="s">
        <v>770</v>
      </c>
      <c r="F9" s="40"/>
      <c r="G9" s="41">
        <v>2770</v>
      </c>
      <c r="H9" s="40"/>
      <c r="I9" s="40"/>
      <c r="J9" s="42">
        <v>363</v>
      </c>
      <c r="K9" s="43" t="s">
        <v>568</v>
      </c>
      <c r="L9" s="43" t="s">
        <v>196</v>
      </c>
      <c r="M9" s="42" t="s">
        <v>600</v>
      </c>
      <c r="N9" s="43" t="s">
        <v>202</v>
      </c>
      <c r="O9" s="43" t="s">
        <v>790</v>
      </c>
      <c r="P9" s="44">
        <v>0</v>
      </c>
      <c r="Q9" s="45" t="s">
        <v>25</v>
      </c>
      <c r="R9" s="45" t="s">
        <v>26</v>
      </c>
      <c r="S9" s="42">
        <v>2026</v>
      </c>
      <c r="T9" s="46">
        <v>46387</v>
      </c>
      <c r="U9" s="47">
        <v>0.8</v>
      </c>
      <c r="V9" s="47"/>
      <c r="W9" s="48">
        <f t="shared" si="0"/>
        <v>0.8</v>
      </c>
      <c r="X9" s="47"/>
      <c r="Y9" s="47"/>
      <c r="Z9" s="47"/>
      <c r="AA9" s="53">
        <v>0.19800000000000001</v>
      </c>
      <c r="AB9" s="47">
        <v>0.19999999999999996</v>
      </c>
      <c r="AC9" s="51">
        <f t="shared" si="1"/>
        <v>132666.99</v>
      </c>
      <c r="AD9" s="46"/>
      <c r="AE9" s="40">
        <f t="shared" si="2"/>
        <v>0</v>
      </c>
      <c r="AF9" s="53">
        <f t="shared" si="3"/>
        <v>0</v>
      </c>
      <c r="AG9" s="55">
        <f t="shared" si="4"/>
        <v>19.634714519999999</v>
      </c>
      <c r="AH9" s="40">
        <v>148</v>
      </c>
      <c r="AI9" s="40">
        <v>282.87204690831555</v>
      </c>
      <c r="AJ9" s="40">
        <v>469</v>
      </c>
      <c r="AK9" s="40">
        <v>500</v>
      </c>
      <c r="AL9" s="55">
        <f t="shared" si="5"/>
        <v>66.333494999999999</v>
      </c>
      <c r="AM9" s="55">
        <f t="shared" si="6"/>
        <v>53.066796000000004</v>
      </c>
      <c r="AN9" s="49">
        <v>141436.02345415778</v>
      </c>
      <c r="AO9" s="57">
        <f t="shared" si="7"/>
        <v>41865.062942430704</v>
      </c>
      <c r="AP9" s="60">
        <f t="shared" si="8"/>
        <v>1</v>
      </c>
      <c r="AQ9" s="61">
        <f t="shared" si="9"/>
        <v>3.3783783783783785</v>
      </c>
    </row>
    <row r="10" spans="1:43">
      <c r="A10" s="22" t="s">
        <v>542</v>
      </c>
      <c r="B10" s="22" t="s">
        <v>334</v>
      </c>
      <c r="C10" s="24" t="s">
        <v>349</v>
      </c>
      <c r="D10" s="25">
        <v>1</v>
      </c>
      <c r="E10" s="26" t="s">
        <v>770</v>
      </c>
      <c r="F10" s="20"/>
      <c r="G10" s="27">
        <v>2770</v>
      </c>
      <c r="H10" s="20"/>
      <c r="I10" s="20"/>
      <c r="J10" s="28">
        <v>364</v>
      </c>
      <c r="K10" s="29" t="s">
        <v>568</v>
      </c>
      <c r="L10" s="29" t="s">
        <v>196</v>
      </c>
      <c r="M10" s="28" t="s">
        <v>600</v>
      </c>
      <c r="N10" s="29" t="s">
        <v>203</v>
      </c>
      <c r="O10" s="29" t="s">
        <v>790</v>
      </c>
      <c r="P10" s="37">
        <v>0</v>
      </c>
      <c r="Q10" s="30" t="s">
        <v>25</v>
      </c>
      <c r="R10" s="30" t="s">
        <v>26</v>
      </c>
      <c r="S10" s="28">
        <v>2027</v>
      </c>
      <c r="T10" s="32">
        <v>46752</v>
      </c>
      <c r="U10" s="31">
        <v>0.8</v>
      </c>
      <c r="V10" s="31"/>
      <c r="W10" s="36">
        <f t="shared" si="0"/>
        <v>0.8</v>
      </c>
      <c r="X10" s="31"/>
      <c r="Y10" s="31"/>
      <c r="Z10" s="31"/>
      <c r="AA10" s="52">
        <v>0.19800000000000001</v>
      </c>
      <c r="AB10" s="31">
        <v>0.19999999999999996</v>
      </c>
      <c r="AC10" s="50">
        <f t="shared" si="1"/>
        <v>177762.71</v>
      </c>
      <c r="AD10" s="32"/>
      <c r="AE10" s="20">
        <f t="shared" si="2"/>
        <v>0</v>
      </c>
      <c r="AF10" s="52">
        <f t="shared" si="3"/>
        <v>0</v>
      </c>
      <c r="AG10" s="54">
        <f t="shared" si="4"/>
        <v>26.308881079999999</v>
      </c>
      <c r="AH10" s="20">
        <v>148</v>
      </c>
      <c r="AI10" s="20">
        <v>428.34387951807224</v>
      </c>
      <c r="AJ10" s="20">
        <v>415</v>
      </c>
      <c r="AK10" s="20">
        <v>500</v>
      </c>
      <c r="AL10" s="54">
        <f t="shared" si="5"/>
        <v>88.881354999999985</v>
      </c>
      <c r="AM10" s="54">
        <f t="shared" si="6"/>
        <v>71.105083999999991</v>
      </c>
      <c r="AN10" s="33">
        <v>214171.93975903612</v>
      </c>
      <c r="AO10" s="56">
        <f t="shared" si="7"/>
        <v>63394.894168674691</v>
      </c>
      <c r="AP10" s="58">
        <f t="shared" si="8"/>
        <v>1</v>
      </c>
      <c r="AQ10" s="59">
        <f t="shared" si="9"/>
        <v>3.3783783783783781</v>
      </c>
    </row>
    <row r="11" spans="1:43">
      <c r="A11" s="22" t="s">
        <v>542</v>
      </c>
      <c r="B11" s="22" t="s">
        <v>335</v>
      </c>
      <c r="C11" s="24" t="s">
        <v>349</v>
      </c>
      <c r="D11" s="38">
        <v>1</v>
      </c>
      <c r="E11" s="39" t="s">
        <v>770</v>
      </c>
      <c r="F11" s="40"/>
      <c r="G11" s="41">
        <v>2770</v>
      </c>
      <c r="H11" s="40"/>
      <c r="I11" s="40"/>
      <c r="J11" s="42">
        <v>365</v>
      </c>
      <c r="K11" s="43" t="s">
        <v>568</v>
      </c>
      <c r="L11" s="43" t="s">
        <v>196</v>
      </c>
      <c r="M11" s="42" t="s">
        <v>600</v>
      </c>
      <c r="N11" s="43" t="s">
        <v>204</v>
      </c>
      <c r="O11" s="43" t="s">
        <v>790</v>
      </c>
      <c r="P11" s="44">
        <v>0</v>
      </c>
      <c r="Q11" s="45" t="s">
        <v>25</v>
      </c>
      <c r="R11" s="45" t="s">
        <v>26</v>
      </c>
      <c r="S11" s="42">
        <v>2029</v>
      </c>
      <c r="T11" s="46">
        <v>47483</v>
      </c>
      <c r="U11" s="47">
        <v>0.8</v>
      </c>
      <c r="V11" s="47"/>
      <c r="W11" s="48">
        <f t="shared" si="0"/>
        <v>0.8</v>
      </c>
      <c r="X11" s="47"/>
      <c r="Y11" s="47"/>
      <c r="Z11" s="47"/>
      <c r="AA11" s="53">
        <v>0.19800000000000001</v>
      </c>
      <c r="AB11" s="47">
        <v>0.19999999999999996</v>
      </c>
      <c r="AC11" s="51">
        <f t="shared" si="1"/>
        <v>51071.979999999996</v>
      </c>
      <c r="AD11" s="46"/>
      <c r="AE11" s="40">
        <f t="shared" si="2"/>
        <v>0</v>
      </c>
      <c r="AF11" s="53">
        <f t="shared" si="3"/>
        <v>0</v>
      </c>
      <c r="AG11" s="55">
        <f t="shared" si="4"/>
        <v>7.5586530400000003</v>
      </c>
      <c r="AH11" s="40">
        <v>148</v>
      </c>
      <c r="AI11" s="40">
        <v>263.25762886597937</v>
      </c>
      <c r="AJ11" s="40">
        <v>194</v>
      </c>
      <c r="AK11" s="40">
        <v>500</v>
      </c>
      <c r="AL11" s="55">
        <f t="shared" si="5"/>
        <v>25.535990000000002</v>
      </c>
      <c r="AM11" s="55">
        <f t="shared" si="6"/>
        <v>20.428792000000001</v>
      </c>
      <c r="AN11" s="49">
        <v>131628.81443298969</v>
      </c>
      <c r="AO11" s="57">
        <f t="shared" si="7"/>
        <v>38962.129072164949</v>
      </c>
      <c r="AP11" s="60">
        <f t="shared" si="8"/>
        <v>1</v>
      </c>
      <c r="AQ11" s="61">
        <f t="shared" si="9"/>
        <v>3.3783783783783785</v>
      </c>
    </row>
    <row r="12" spans="1:43">
      <c r="A12" s="34" t="s">
        <v>575</v>
      </c>
      <c r="B12" s="22" t="s">
        <v>562</v>
      </c>
      <c r="C12" s="22"/>
      <c r="D12" s="25">
        <v>1</v>
      </c>
      <c r="E12" s="26" t="s">
        <v>770</v>
      </c>
      <c r="F12" s="20"/>
      <c r="G12" s="27">
        <v>2177</v>
      </c>
      <c r="H12" s="20"/>
      <c r="I12" s="20"/>
      <c r="J12" s="28"/>
      <c r="K12" s="29" t="s">
        <v>568</v>
      </c>
      <c r="L12" s="29" t="s">
        <v>563</v>
      </c>
      <c r="M12" s="28" t="s">
        <v>599</v>
      </c>
      <c r="N12" s="29" t="s">
        <v>562</v>
      </c>
      <c r="O12" s="29" t="s">
        <v>790</v>
      </c>
      <c r="P12" s="37">
        <v>0</v>
      </c>
      <c r="Q12" s="30" t="s">
        <v>25</v>
      </c>
      <c r="R12" s="30" t="s">
        <v>789</v>
      </c>
      <c r="S12" s="28"/>
      <c r="T12" s="32"/>
      <c r="U12" s="31">
        <v>0.8</v>
      </c>
      <c r="V12" s="31"/>
      <c r="W12" s="36">
        <f t="shared" si="0"/>
        <v>0.8</v>
      </c>
      <c r="X12" s="31"/>
      <c r="Y12" s="31"/>
      <c r="Z12" s="31"/>
      <c r="AA12" s="52">
        <v>0.19800000000000001</v>
      </c>
      <c r="AB12" s="31">
        <v>0.2</v>
      </c>
      <c r="AC12" s="50">
        <f t="shared" si="1"/>
        <v>363235.45</v>
      </c>
      <c r="AD12" s="32"/>
      <c r="AE12" s="20">
        <f t="shared" si="2"/>
        <v>0</v>
      </c>
      <c r="AF12" s="52">
        <f t="shared" si="3"/>
        <v>0</v>
      </c>
      <c r="AG12" s="54">
        <f t="shared" si="4"/>
        <v>48.346638394999999</v>
      </c>
      <c r="AH12" s="20">
        <v>133.1</v>
      </c>
      <c r="AI12" s="20">
        <v>215.57</v>
      </c>
      <c r="AJ12" s="20">
        <v>1685</v>
      </c>
      <c r="AK12" s="20">
        <v>380</v>
      </c>
      <c r="AL12" s="54">
        <f t="shared" si="5"/>
        <v>138.029471</v>
      </c>
      <c r="AM12" s="54">
        <f t="shared" si="6"/>
        <v>110.42357680000001</v>
      </c>
      <c r="AN12" s="33">
        <v>114000</v>
      </c>
      <c r="AO12" s="56">
        <f t="shared" si="7"/>
        <v>28692.366999999998</v>
      </c>
      <c r="AP12" s="58">
        <f t="shared" si="8"/>
        <v>1</v>
      </c>
      <c r="AQ12" s="59">
        <f t="shared" si="9"/>
        <v>2.8549962434259957</v>
      </c>
    </row>
    <row r="13" spans="1:43">
      <c r="A13" s="22" t="s">
        <v>584</v>
      </c>
      <c r="B13" s="22" t="s">
        <v>582</v>
      </c>
      <c r="C13" s="22"/>
      <c r="D13" s="25">
        <v>1</v>
      </c>
      <c r="E13" s="26" t="s">
        <v>770</v>
      </c>
      <c r="F13" s="20"/>
      <c r="G13" s="27">
        <v>2041</v>
      </c>
      <c r="H13" s="20"/>
      <c r="I13" s="20"/>
      <c r="J13" s="28"/>
      <c r="K13" s="29" t="s">
        <v>568</v>
      </c>
      <c r="L13" s="29" t="s">
        <v>583</v>
      </c>
      <c r="M13" s="28" t="s">
        <v>600</v>
      </c>
      <c r="N13" s="29" t="s">
        <v>24</v>
      </c>
      <c r="O13" s="29" t="s">
        <v>790</v>
      </c>
      <c r="P13" s="37">
        <v>0</v>
      </c>
      <c r="Q13" s="30" t="s">
        <v>25</v>
      </c>
      <c r="R13" s="30"/>
      <c r="S13" s="28"/>
      <c r="T13" s="32"/>
      <c r="U13" s="31">
        <v>0.72499999999999998</v>
      </c>
      <c r="V13" s="31">
        <f>27.5%-15%</f>
        <v>0.12500000000000003</v>
      </c>
      <c r="W13" s="36">
        <f t="shared" si="0"/>
        <v>0.85</v>
      </c>
      <c r="X13" s="31"/>
      <c r="Y13" s="31"/>
      <c r="Z13" s="31"/>
      <c r="AA13" s="52">
        <v>0.19800000000000001</v>
      </c>
      <c r="AB13" s="31">
        <v>0.15</v>
      </c>
      <c r="AC13" s="50">
        <v>1669.242</v>
      </c>
      <c r="AD13" s="32"/>
      <c r="AE13" s="20">
        <f t="shared" si="2"/>
        <v>0</v>
      </c>
      <c r="AF13" s="52">
        <f t="shared" si="3"/>
        <v>0</v>
      </c>
      <c r="AG13" s="54">
        <f t="shared" si="4"/>
        <v>196.54908</v>
      </c>
      <c r="AH13" s="20">
        <v>240</v>
      </c>
      <c r="AI13" s="20">
        <v>219.5</v>
      </c>
      <c r="AJ13" s="20">
        <v>3731</v>
      </c>
      <c r="AK13" s="20">
        <v>520</v>
      </c>
      <c r="AL13" s="54">
        <f t="shared" si="5"/>
        <v>425.85633999999999</v>
      </c>
      <c r="AM13" s="54">
        <f t="shared" si="6"/>
        <v>308.74584649999997</v>
      </c>
      <c r="AN13" s="33">
        <v>114140</v>
      </c>
      <c r="AO13" s="56">
        <f t="shared" si="7"/>
        <v>52680</v>
      </c>
      <c r="AP13" s="58">
        <f t="shared" si="8"/>
        <v>0.875</v>
      </c>
      <c r="AQ13" s="59">
        <f t="shared" si="9"/>
        <v>1.8958333333333333</v>
      </c>
    </row>
    <row r="14" spans="1:43">
      <c r="A14" s="22" t="s">
        <v>455</v>
      </c>
      <c r="B14" s="22" t="s">
        <v>246</v>
      </c>
      <c r="C14" s="24" t="s">
        <v>413</v>
      </c>
      <c r="D14" s="38">
        <v>1</v>
      </c>
      <c r="E14" s="39" t="s">
        <v>770</v>
      </c>
      <c r="F14" s="40"/>
      <c r="G14" s="41">
        <v>2045</v>
      </c>
      <c r="H14" s="40"/>
      <c r="I14" s="40"/>
      <c r="J14" s="42">
        <v>194</v>
      </c>
      <c r="K14" s="43" t="s">
        <v>92</v>
      </c>
      <c r="L14" s="43" t="s">
        <v>93</v>
      </c>
      <c r="M14" s="42" t="s">
        <v>591</v>
      </c>
      <c r="N14" s="43" t="s">
        <v>94</v>
      </c>
      <c r="O14" s="43" t="s">
        <v>790</v>
      </c>
      <c r="P14" s="44">
        <v>0</v>
      </c>
      <c r="Q14" s="45" t="s">
        <v>25</v>
      </c>
      <c r="R14" s="45" t="s">
        <v>26</v>
      </c>
      <c r="S14" s="42">
        <v>2027</v>
      </c>
      <c r="T14" s="46">
        <v>46568</v>
      </c>
      <c r="U14" s="47">
        <v>0.53039999999999998</v>
      </c>
      <c r="V14" s="47">
        <v>0.33699999999999997</v>
      </c>
      <c r="W14" s="48">
        <f t="shared" si="0"/>
        <v>0.86739999999999995</v>
      </c>
      <c r="X14" s="47">
        <v>0.05</v>
      </c>
      <c r="Y14" s="47">
        <v>9.0000000000000011E-2</v>
      </c>
      <c r="Z14" s="47">
        <v>6.8000000000000005E-2</v>
      </c>
      <c r="AA14" s="53">
        <v>0.19800000000000001</v>
      </c>
      <c r="AB14" s="47">
        <v>0.13260000000000005</v>
      </c>
      <c r="AC14" s="51">
        <f t="shared" ref="AC14:AC23" si="10">AI14*AJ14</f>
        <v>169253.49220000001</v>
      </c>
      <c r="AD14" s="46"/>
      <c r="AE14" s="40">
        <f t="shared" si="2"/>
        <v>0</v>
      </c>
      <c r="AF14" s="53">
        <f t="shared" si="3"/>
        <v>0</v>
      </c>
      <c r="AG14" s="55">
        <f t="shared" si="4"/>
        <v>20.310419064000001</v>
      </c>
      <c r="AH14" s="40">
        <v>120</v>
      </c>
      <c r="AI14" s="40">
        <v>187.64245254988916</v>
      </c>
      <c r="AJ14" s="40">
        <v>902</v>
      </c>
      <c r="AK14" s="40">
        <v>426.10642216338272</v>
      </c>
      <c r="AL14" s="55">
        <f t="shared" si="5"/>
        <v>72.120000000000019</v>
      </c>
      <c r="AM14" s="55">
        <f t="shared" si="6"/>
        <v>38.252448000000008</v>
      </c>
      <c r="AN14" s="49">
        <v>79955.654101995577</v>
      </c>
      <c r="AO14" s="57">
        <f t="shared" si="7"/>
        <v>22517.094305986699</v>
      </c>
      <c r="AP14" s="60">
        <f t="shared" si="8"/>
        <v>0.66300000000000003</v>
      </c>
      <c r="AQ14" s="61">
        <f t="shared" si="9"/>
        <v>2.3542379824526898</v>
      </c>
    </row>
    <row r="15" spans="1:43">
      <c r="A15" s="22" t="s">
        <v>455</v>
      </c>
      <c r="B15" s="22" t="s">
        <v>247</v>
      </c>
      <c r="C15" s="24" t="s">
        <v>413</v>
      </c>
      <c r="D15" s="25">
        <v>1</v>
      </c>
      <c r="E15" s="26" t="s">
        <v>770</v>
      </c>
      <c r="F15" s="20"/>
      <c r="G15" s="27">
        <v>2045</v>
      </c>
      <c r="H15" s="20"/>
      <c r="I15" s="20"/>
      <c r="J15" s="28">
        <v>195</v>
      </c>
      <c r="K15" s="29" t="s">
        <v>92</v>
      </c>
      <c r="L15" s="29" t="s">
        <v>93</v>
      </c>
      <c r="M15" s="28" t="s">
        <v>591</v>
      </c>
      <c r="N15" s="29" t="s">
        <v>95</v>
      </c>
      <c r="O15" s="29" t="s">
        <v>790</v>
      </c>
      <c r="P15" s="37">
        <v>0</v>
      </c>
      <c r="Q15" s="30" t="s">
        <v>25</v>
      </c>
      <c r="R15" s="30" t="s">
        <v>26</v>
      </c>
      <c r="S15" s="28">
        <v>2028</v>
      </c>
      <c r="T15" s="32">
        <v>46934</v>
      </c>
      <c r="U15" s="31">
        <v>0.53039999999999998</v>
      </c>
      <c r="V15" s="31">
        <v>0.33699999999999997</v>
      </c>
      <c r="W15" s="36">
        <f t="shared" si="0"/>
        <v>0.86739999999999995</v>
      </c>
      <c r="X15" s="31">
        <v>0.05</v>
      </c>
      <c r="Y15" s="31">
        <v>9.0000000000000011E-2</v>
      </c>
      <c r="Z15" s="31">
        <v>6.8000000000000005E-2</v>
      </c>
      <c r="AA15" s="52">
        <v>0.19800000000000001</v>
      </c>
      <c r="AB15" s="31">
        <v>0.13260000000000005</v>
      </c>
      <c r="AC15" s="50">
        <f t="shared" si="10"/>
        <v>169253.49220000001</v>
      </c>
      <c r="AD15" s="32"/>
      <c r="AE15" s="20">
        <f t="shared" si="2"/>
        <v>0</v>
      </c>
      <c r="AF15" s="52">
        <f t="shared" si="3"/>
        <v>0</v>
      </c>
      <c r="AG15" s="54">
        <f t="shared" si="4"/>
        <v>20.310419063999998</v>
      </c>
      <c r="AH15" s="20">
        <v>120</v>
      </c>
      <c r="AI15" s="20">
        <v>187.85071276359602</v>
      </c>
      <c r="AJ15" s="20">
        <v>901</v>
      </c>
      <c r="AK15" s="20">
        <v>426.10642216338277</v>
      </c>
      <c r="AL15" s="54">
        <f t="shared" si="5"/>
        <v>72.120000000000019</v>
      </c>
      <c r="AM15" s="54">
        <f t="shared" si="6"/>
        <v>38.252448000000008</v>
      </c>
      <c r="AN15" s="33">
        <v>80044.395116537198</v>
      </c>
      <c r="AO15" s="56">
        <f t="shared" si="7"/>
        <v>22542.085531631521</v>
      </c>
      <c r="AP15" s="58">
        <f t="shared" si="8"/>
        <v>0.66300000000000003</v>
      </c>
      <c r="AQ15" s="59">
        <f t="shared" si="9"/>
        <v>2.3542379824526902</v>
      </c>
    </row>
    <row r="16" spans="1:43">
      <c r="A16" s="22" t="s">
        <v>456</v>
      </c>
      <c r="B16" s="22" t="s">
        <v>248</v>
      </c>
      <c r="C16" s="24" t="s">
        <v>414</v>
      </c>
      <c r="D16" s="38">
        <v>1</v>
      </c>
      <c r="E16" s="39" t="s">
        <v>770</v>
      </c>
      <c r="F16" s="40"/>
      <c r="G16" s="41">
        <v>2047</v>
      </c>
      <c r="H16" s="40"/>
      <c r="I16" s="40"/>
      <c r="J16" s="42">
        <v>196</v>
      </c>
      <c r="K16" s="43" t="s">
        <v>92</v>
      </c>
      <c r="L16" s="43" t="s">
        <v>96</v>
      </c>
      <c r="M16" s="42" t="s">
        <v>591</v>
      </c>
      <c r="N16" s="43" t="s">
        <v>97</v>
      </c>
      <c r="O16" s="43" t="s">
        <v>790</v>
      </c>
      <c r="P16" s="44">
        <v>0</v>
      </c>
      <c r="Q16" s="45" t="s">
        <v>78</v>
      </c>
      <c r="R16" s="45" t="s">
        <v>789</v>
      </c>
      <c r="S16" s="42">
        <v>2026</v>
      </c>
      <c r="T16" s="46">
        <v>46203</v>
      </c>
      <c r="U16" s="47">
        <v>0.50860000000000005</v>
      </c>
      <c r="V16" s="47">
        <v>0.36419999999999997</v>
      </c>
      <c r="W16" s="48">
        <f t="shared" si="0"/>
        <v>0.87280000000000002</v>
      </c>
      <c r="X16" s="47">
        <v>0.05</v>
      </c>
      <c r="Y16" s="47">
        <v>9.0000000000000011E-2</v>
      </c>
      <c r="Z16" s="47">
        <v>6.8000000000000005E-2</v>
      </c>
      <c r="AA16" s="53">
        <v>0.19800000000000001</v>
      </c>
      <c r="AB16" s="47">
        <v>0.12719999999999998</v>
      </c>
      <c r="AC16" s="51">
        <f t="shared" si="10"/>
        <v>164975.96</v>
      </c>
      <c r="AD16" s="46"/>
      <c r="AE16" s="40">
        <f t="shared" si="2"/>
        <v>0</v>
      </c>
      <c r="AF16" s="53">
        <f t="shared" si="3"/>
        <v>0</v>
      </c>
      <c r="AG16" s="55">
        <f t="shared" si="4"/>
        <v>42.8937496</v>
      </c>
      <c r="AH16" s="40">
        <v>260</v>
      </c>
      <c r="AI16" s="40">
        <v>246.97</v>
      </c>
      <c r="AJ16" s="40">
        <v>668</v>
      </c>
      <c r="AK16" s="40">
        <v>949.68418134440344</v>
      </c>
      <c r="AL16" s="55">
        <f t="shared" si="5"/>
        <v>156.67505951410706</v>
      </c>
      <c r="AM16" s="55">
        <f t="shared" si="6"/>
        <v>79.684935268874867</v>
      </c>
      <c r="AN16" s="49">
        <v>259999.99999999997</v>
      </c>
      <c r="AO16" s="57">
        <f t="shared" si="7"/>
        <v>64212.2</v>
      </c>
      <c r="AP16" s="60">
        <f t="shared" si="8"/>
        <v>0.63580000000000003</v>
      </c>
      <c r="AQ16" s="61">
        <f t="shared" si="9"/>
        <v>2.3223430865337376</v>
      </c>
    </row>
    <row r="17" spans="1:43">
      <c r="A17" s="22" t="s">
        <v>457</v>
      </c>
      <c r="B17" s="22" t="s">
        <v>249</v>
      </c>
      <c r="C17" s="24" t="s">
        <v>415</v>
      </c>
      <c r="D17" s="25">
        <v>1</v>
      </c>
      <c r="E17" s="26" t="s">
        <v>770</v>
      </c>
      <c r="F17" s="20"/>
      <c r="G17" s="27">
        <v>2049</v>
      </c>
      <c r="H17" s="20"/>
      <c r="I17" s="20"/>
      <c r="J17" s="28">
        <v>197</v>
      </c>
      <c r="K17" s="29" t="s">
        <v>92</v>
      </c>
      <c r="L17" s="29" t="s">
        <v>98</v>
      </c>
      <c r="M17" s="28" t="s">
        <v>591</v>
      </c>
      <c r="N17" s="29" t="s">
        <v>49</v>
      </c>
      <c r="O17" s="29" t="s">
        <v>786</v>
      </c>
      <c r="P17" s="37">
        <v>1923793.08</v>
      </c>
      <c r="Q17" s="30" t="s">
        <v>25</v>
      </c>
      <c r="R17" s="30" t="s">
        <v>789</v>
      </c>
      <c r="S17" s="28">
        <v>2026</v>
      </c>
      <c r="T17" s="32">
        <v>46203</v>
      </c>
      <c r="U17" s="31">
        <v>0.8</v>
      </c>
      <c r="V17" s="31"/>
      <c r="W17" s="36">
        <f t="shared" si="0"/>
        <v>0.8</v>
      </c>
      <c r="X17" s="31"/>
      <c r="Y17" s="31"/>
      <c r="Z17" s="31"/>
      <c r="AA17" s="52">
        <v>0.19800000000000001</v>
      </c>
      <c r="AB17" s="31">
        <v>0.19999999999999996</v>
      </c>
      <c r="AC17" s="50">
        <f t="shared" si="10"/>
        <v>247500</v>
      </c>
      <c r="AD17" s="32"/>
      <c r="AE17" s="20">
        <f t="shared" si="2"/>
        <v>1.92379308</v>
      </c>
      <c r="AF17" s="52">
        <f t="shared" si="3"/>
        <v>1.6446441315308712E-2</v>
      </c>
      <c r="AG17" s="54">
        <f t="shared" si="4"/>
        <v>29.7</v>
      </c>
      <c r="AH17" s="20">
        <v>120</v>
      </c>
      <c r="AI17" s="20">
        <v>165</v>
      </c>
      <c r="AJ17" s="20">
        <v>1500</v>
      </c>
      <c r="AK17" s="20">
        <v>472.61904167062232</v>
      </c>
      <c r="AL17" s="54">
        <f t="shared" si="5"/>
        <v>116.97321281347902</v>
      </c>
      <c r="AM17" s="54">
        <f t="shared" si="6"/>
        <v>93.57857025078323</v>
      </c>
      <c r="AN17" s="33">
        <v>79872.618042335176</v>
      </c>
      <c r="AO17" s="56">
        <f t="shared" si="7"/>
        <v>19800</v>
      </c>
      <c r="AP17" s="58">
        <f t="shared" si="8"/>
        <v>1</v>
      </c>
      <c r="AQ17" s="59">
        <f t="shared" si="9"/>
        <v>3.6988988802692679</v>
      </c>
    </row>
    <row r="18" spans="1:43">
      <c r="A18" s="22" t="s">
        <v>457</v>
      </c>
      <c r="B18" s="22" t="s">
        <v>250</v>
      </c>
      <c r="C18" s="24" t="s">
        <v>415</v>
      </c>
      <c r="D18" s="38">
        <v>1</v>
      </c>
      <c r="E18" s="39" t="s">
        <v>770</v>
      </c>
      <c r="F18" s="40"/>
      <c r="G18" s="41">
        <v>2049</v>
      </c>
      <c r="H18" s="40"/>
      <c r="I18" s="40"/>
      <c r="J18" s="42">
        <v>198</v>
      </c>
      <c r="K18" s="43" t="s">
        <v>92</v>
      </c>
      <c r="L18" s="43" t="s">
        <v>98</v>
      </c>
      <c r="M18" s="42" t="s">
        <v>591</v>
      </c>
      <c r="N18" s="43" t="s">
        <v>99</v>
      </c>
      <c r="O18" s="43" t="s">
        <v>786</v>
      </c>
      <c r="P18" s="44">
        <v>1923792</v>
      </c>
      <c r="Q18" s="45" t="s">
        <v>25</v>
      </c>
      <c r="R18" s="45" t="s">
        <v>789</v>
      </c>
      <c r="S18" s="42">
        <v>2027</v>
      </c>
      <c r="T18" s="46">
        <v>46477</v>
      </c>
      <c r="U18" s="47">
        <v>0.8</v>
      </c>
      <c r="V18" s="47"/>
      <c r="W18" s="48">
        <f t="shared" si="0"/>
        <v>0.8</v>
      </c>
      <c r="X18" s="47"/>
      <c r="Y18" s="47"/>
      <c r="Z18" s="47"/>
      <c r="AA18" s="53">
        <v>0.19800000000000001</v>
      </c>
      <c r="AB18" s="47">
        <v>0.19999999999999996</v>
      </c>
      <c r="AC18" s="51">
        <f t="shared" si="10"/>
        <v>165000</v>
      </c>
      <c r="AD18" s="46"/>
      <c r="AE18" s="40">
        <f t="shared" si="2"/>
        <v>1.9237919999999999</v>
      </c>
      <c r="AF18" s="53">
        <f t="shared" si="3"/>
        <v>2.4669648123638414E-2</v>
      </c>
      <c r="AG18" s="55">
        <f t="shared" si="4"/>
        <v>19.8</v>
      </c>
      <c r="AH18" s="40">
        <v>120</v>
      </c>
      <c r="AI18" s="40">
        <v>165</v>
      </c>
      <c r="AJ18" s="40">
        <v>1000</v>
      </c>
      <c r="AK18" s="40">
        <v>472.61904167062232</v>
      </c>
      <c r="AL18" s="55">
        <f t="shared" si="5"/>
        <v>77.982141875652687</v>
      </c>
      <c r="AM18" s="55">
        <f t="shared" si="6"/>
        <v>62.385713500522151</v>
      </c>
      <c r="AN18" s="49">
        <v>79872.618042335176</v>
      </c>
      <c r="AO18" s="57">
        <f t="shared" si="7"/>
        <v>19800</v>
      </c>
      <c r="AP18" s="60">
        <f t="shared" si="8"/>
        <v>1</v>
      </c>
      <c r="AQ18" s="61">
        <f t="shared" si="9"/>
        <v>3.589711311710805</v>
      </c>
    </row>
    <row r="19" spans="1:43">
      <c r="A19" s="22" t="s">
        <v>457</v>
      </c>
      <c r="B19" s="22" t="s">
        <v>251</v>
      </c>
      <c r="C19" s="24" t="s">
        <v>415</v>
      </c>
      <c r="D19" s="25">
        <v>1</v>
      </c>
      <c r="E19" s="26" t="s">
        <v>770</v>
      </c>
      <c r="F19" s="20"/>
      <c r="G19" s="27">
        <v>2049</v>
      </c>
      <c r="H19" s="20"/>
      <c r="I19" s="20"/>
      <c r="J19" s="28">
        <v>199</v>
      </c>
      <c r="K19" s="29" t="s">
        <v>92</v>
      </c>
      <c r="L19" s="29" t="s">
        <v>98</v>
      </c>
      <c r="M19" s="28" t="s">
        <v>591</v>
      </c>
      <c r="N19" s="29" t="s">
        <v>100</v>
      </c>
      <c r="O19" s="29" t="s">
        <v>786</v>
      </c>
      <c r="P19" s="37">
        <v>1923792</v>
      </c>
      <c r="Q19" s="30" t="s">
        <v>25</v>
      </c>
      <c r="R19" s="30" t="s">
        <v>789</v>
      </c>
      <c r="S19" s="28">
        <v>2028</v>
      </c>
      <c r="T19" s="32">
        <v>46934</v>
      </c>
      <c r="U19" s="31">
        <v>0.8</v>
      </c>
      <c r="V19" s="31"/>
      <c r="W19" s="36">
        <f t="shared" si="0"/>
        <v>0.8</v>
      </c>
      <c r="X19" s="31"/>
      <c r="Y19" s="31"/>
      <c r="Z19" s="31"/>
      <c r="AA19" s="52">
        <v>0.19800000000000001</v>
      </c>
      <c r="AB19" s="31">
        <v>0.19999999999999996</v>
      </c>
      <c r="AC19" s="50">
        <f t="shared" si="10"/>
        <v>114840</v>
      </c>
      <c r="AD19" s="32"/>
      <c r="AE19" s="20">
        <f t="shared" si="2"/>
        <v>1.9237919999999999</v>
      </c>
      <c r="AF19" s="52">
        <f t="shared" si="3"/>
        <v>3.5444896729365537E-2</v>
      </c>
      <c r="AG19" s="54">
        <f t="shared" si="4"/>
        <v>13.780799999999999</v>
      </c>
      <c r="AH19" s="20">
        <v>120</v>
      </c>
      <c r="AI19" s="20">
        <v>165</v>
      </c>
      <c r="AJ19" s="20">
        <v>696</v>
      </c>
      <c r="AK19" s="20">
        <v>472.61904167062232</v>
      </c>
      <c r="AL19" s="54">
        <f t="shared" si="5"/>
        <v>54.275570745454267</v>
      </c>
      <c r="AM19" s="54">
        <f t="shared" si="6"/>
        <v>43.420456596363415</v>
      </c>
      <c r="AN19" s="33">
        <v>79872.618042335176</v>
      </c>
      <c r="AO19" s="56">
        <f t="shared" si="7"/>
        <v>19800</v>
      </c>
      <c r="AP19" s="58">
        <f t="shared" si="8"/>
        <v>1</v>
      </c>
      <c r="AQ19" s="59">
        <f t="shared" si="9"/>
        <v>3.4560318883454131</v>
      </c>
    </row>
    <row r="20" spans="1:43">
      <c r="A20" s="22" t="s">
        <v>458</v>
      </c>
      <c r="B20" s="22" t="s">
        <v>252</v>
      </c>
      <c r="C20" s="24" t="s">
        <v>416</v>
      </c>
      <c r="D20" s="38">
        <v>1</v>
      </c>
      <c r="E20" s="39" t="s">
        <v>770</v>
      </c>
      <c r="F20" s="40"/>
      <c r="G20" s="41">
        <v>2048</v>
      </c>
      <c r="H20" s="40"/>
      <c r="I20" s="40"/>
      <c r="J20" s="42">
        <v>200</v>
      </c>
      <c r="K20" s="43" t="s">
        <v>92</v>
      </c>
      <c r="L20" s="43" t="s">
        <v>101</v>
      </c>
      <c r="M20" s="42" t="s">
        <v>591</v>
      </c>
      <c r="N20" s="43" t="s">
        <v>87</v>
      </c>
      <c r="O20" s="43" t="s">
        <v>786</v>
      </c>
      <c r="P20" s="44">
        <v>4000000</v>
      </c>
      <c r="Q20" s="45" t="s">
        <v>25</v>
      </c>
      <c r="R20" s="45" t="s">
        <v>789</v>
      </c>
      <c r="S20" s="42">
        <v>2026</v>
      </c>
      <c r="T20" s="46">
        <v>46203</v>
      </c>
      <c r="U20" s="47">
        <v>0.8</v>
      </c>
      <c r="V20" s="47"/>
      <c r="W20" s="48">
        <f t="shared" si="0"/>
        <v>0.8</v>
      </c>
      <c r="X20" s="47"/>
      <c r="Y20" s="47"/>
      <c r="Z20" s="47"/>
      <c r="AA20" s="53">
        <v>0.19800000000000001</v>
      </c>
      <c r="AB20" s="47">
        <v>0.19999999999999996</v>
      </c>
      <c r="AC20" s="51">
        <f t="shared" si="10"/>
        <v>117415.63999999998</v>
      </c>
      <c r="AD20" s="46"/>
      <c r="AE20" s="40">
        <f t="shared" si="2"/>
        <v>4</v>
      </c>
      <c r="AF20" s="53">
        <f t="shared" si="3"/>
        <v>7.9225608968237535E-2</v>
      </c>
      <c r="AG20" s="55">
        <f t="shared" si="4"/>
        <v>14.089876799999999</v>
      </c>
      <c r="AH20" s="40">
        <v>120</v>
      </c>
      <c r="AI20" s="40">
        <v>207.81529203539822</v>
      </c>
      <c r="AJ20" s="40">
        <v>565</v>
      </c>
      <c r="AK20" s="40">
        <v>430</v>
      </c>
      <c r="AL20" s="55">
        <f t="shared" si="5"/>
        <v>50.488725199999998</v>
      </c>
      <c r="AM20" s="55">
        <f t="shared" si="6"/>
        <v>40.390980159999998</v>
      </c>
      <c r="AN20" s="49">
        <v>89360.575575221228</v>
      </c>
      <c r="AO20" s="57">
        <f t="shared" si="7"/>
        <v>24937.835044247786</v>
      </c>
      <c r="AP20" s="60">
        <f t="shared" si="8"/>
        <v>1</v>
      </c>
      <c r="AQ20" s="61">
        <f t="shared" si="9"/>
        <v>2.7909933140064282</v>
      </c>
    </row>
    <row r="21" spans="1:43">
      <c r="A21" s="22" t="s">
        <v>459</v>
      </c>
      <c r="B21" s="22" t="s">
        <v>253</v>
      </c>
      <c r="C21" s="24" t="s">
        <v>417</v>
      </c>
      <c r="D21" s="25">
        <v>1</v>
      </c>
      <c r="E21" s="26" t="s">
        <v>770</v>
      </c>
      <c r="F21" s="20"/>
      <c r="G21" s="27">
        <v>2044</v>
      </c>
      <c r="H21" s="20"/>
      <c r="I21" s="20"/>
      <c r="J21" s="28">
        <v>201</v>
      </c>
      <c r="K21" s="29" t="s">
        <v>92</v>
      </c>
      <c r="L21" s="29" t="s">
        <v>102</v>
      </c>
      <c r="M21" s="28" t="s">
        <v>602</v>
      </c>
      <c r="N21" s="29" t="s">
        <v>103</v>
      </c>
      <c r="O21" s="29" t="s">
        <v>786</v>
      </c>
      <c r="P21" s="37">
        <v>2000000</v>
      </c>
      <c r="Q21" s="30" t="s">
        <v>25</v>
      </c>
      <c r="R21" s="30" t="s">
        <v>789</v>
      </c>
      <c r="S21" s="28">
        <v>2028</v>
      </c>
      <c r="T21" s="32">
        <v>46843</v>
      </c>
      <c r="U21" s="31">
        <v>0.8</v>
      </c>
      <c r="V21" s="31"/>
      <c r="W21" s="36">
        <f t="shared" si="0"/>
        <v>0.8</v>
      </c>
      <c r="X21" s="31"/>
      <c r="Y21" s="31"/>
      <c r="Z21" s="31"/>
      <c r="AA21" s="52">
        <v>0.19800000000000001</v>
      </c>
      <c r="AB21" s="31">
        <v>0.19999999999999996</v>
      </c>
      <c r="AC21" s="50">
        <f t="shared" si="10"/>
        <v>187500</v>
      </c>
      <c r="AD21" s="32"/>
      <c r="AE21" s="20">
        <f t="shared" si="2"/>
        <v>2</v>
      </c>
      <c r="AF21" s="52">
        <f t="shared" si="3"/>
        <v>2.318840579710145E-2</v>
      </c>
      <c r="AG21" s="54">
        <f t="shared" si="4"/>
        <v>22.5</v>
      </c>
      <c r="AH21" s="20">
        <v>120</v>
      </c>
      <c r="AI21" s="20">
        <v>180</v>
      </c>
      <c r="AJ21" s="20">
        <v>1041.6666666666667</v>
      </c>
      <c r="AK21" s="20">
        <v>460</v>
      </c>
      <c r="AL21" s="54">
        <f t="shared" si="5"/>
        <v>86.25</v>
      </c>
      <c r="AM21" s="54">
        <f t="shared" si="6"/>
        <v>69</v>
      </c>
      <c r="AN21" s="33">
        <v>82800</v>
      </c>
      <c r="AO21" s="56">
        <f t="shared" si="7"/>
        <v>21600</v>
      </c>
      <c r="AP21" s="58">
        <f t="shared" si="8"/>
        <v>1</v>
      </c>
      <c r="AQ21" s="59">
        <f t="shared" si="9"/>
        <v>3.5204081632653059</v>
      </c>
    </row>
    <row r="22" spans="1:43">
      <c r="A22" s="22" t="s">
        <v>460</v>
      </c>
      <c r="B22" s="22" t="s">
        <v>254</v>
      </c>
      <c r="C22" s="24" t="s">
        <v>410</v>
      </c>
      <c r="D22" s="38">
        <v>1</v>
      </c>
      <c r="E22" s="39" t="s">
        <v>770</v>
      </c>
      <c r="F22" s="40"/>
      <c r="G22" s="41">
        <v>2046</v>
      </c>
      <c r="H22" s="40"/>
      <c r="I22" s="40"/>
      <c r="J22" s="42">
        <v>202</v>
      </c>
      <c r="K22" s="43" t="s">
        <v>92</v>
      </c>
      <c r="L22" s="43" t="s">
        <v>104</v>
      </c>
      <c r="M22" s="42" t="s">
        <v>603</v>
      </c>
      <c r="N22" s="43" t="s">
        <v>105</v>
      </c>
      <c r="O22" s="43" t="s">
        <v>786</v>
      </c>
      <c r="P22" s="44">
        <v>4000000</v>
      </c>
      <c r="Q22" s="45" t="s">
        <v>25</v>
      </c>
      <c r="R22" s="45" t="s">
        <v>26</v>
      </c>
      <c r="S22" s="42">
        <v>2027</v>
      </c>
      <c r="T22" s="46">
        <v>46568</v>
      </c>
      <c r="U22" s="47">
        <v>0.8</v>
      </c>
      <c r="V22" s="47"/>
      <c r="W22" s="48">
        <f t="shared" si="0"/>
        <v>0.8</v>
      </c>
      <c r="X22" s="47"/>
      <c r="Y22" s="47"/>
      <c r="Z22" s="47"/>
      <c r="AA22" s="53">
        <v>0.19800000000000001</v>
      </c>
      <c r="AB22" s="47">
        <v>0.19999999999999996</v>
      </c>
      <c r="AC22" s="51">
        <f t="shared" si="10"/>
        <v>204159.05</v>
      </c>
      <c r="AD22" s="46"/>
      <c r="AE22" s="40">
        <f t="shared" si="2"/>
        <v>4</v>
      </c>
      <c r="AF22" s="53">
        <f t="shared" si="3"/>
        <v>4.5564110831213943E-2</v>
      </c>
      <c r="AG22" s="55">
        <f t="shared" si="4"/>
        <v>24.499085999999998</v>
      </c>
      <c r="AH22" s="40">
        <v>120</v>
      </c>
      <c r="AI22" s="40">
        <v>216.27018008474576</v>
      </c>
      <c r="AJ22" s="40">
        <v>944</v>
      </c>
      <c r="AK22" s="40">
        <v>430</v>
      </c>
      <c r="AL22" s="55">
        <f t="shared" si="5"/>
        <v>87.788391500000003</v>
      </c>
      <c r="AM22" s="55">
        <f t="shared" si="6"/>
        <v>70.230713200000011</v>
      </c>
      <c r="AN22" s="49">
        <v>92996.177436440674</v>
      </c>
      <c r="AO22" s="57">
        <f t="shared" si="7"/>
        <v>25952.421610169491</v>
      </c>
      <c r="AP22" s="60">
        <f t="shared" si="8"/>
        <v>1</v>
      </c>
      <c r="AQ22" s="61">
        <f t="shared" si="9"/>
        <v>3.0803932273477126</v>
      </c>
    </row>
    <row r="23" spans="1:43">
      <c r="A23" s="22" t="s">
        <v>460</v>
      </c>
      <c r="B23" s="22" t="s">
        <v>254</v>
      </c>
      <c r="C23" s="24" t="s">
        <v>410</v>
      </c>
      <c r="D23" s="25">
        <v>1</v>
      </c>
      <c r="E23" s="26" t="s">
        <v>770</v>
      </c>
      <c r="F23" s="20"/>
      <c r="G23" s="27">
        <v>2046</v>
      </c>
      <c r="H23" s="20"/>
      <c r="I23" s="20"/>
      <c r="J23" s="28">
        <v>203</v>
      </c>
      <c r="K23" s="29" t="s">
        <v>92</v>
      </c>
      <c r="L23" s="29" t="s">
        <v>104</v>
      </c>
      <c r="M23" s="28" t="s">
        <v>603</v>
      </c>
      <c r="N23" s="29" t="s">
        <v>105</v>
      </c>
      <c r="O23" s="29" t="s">
        <v>786</v>
      </c>
      <c r="P23" s="37">
        <v>4000000</v>
      </c>
      <c r="Q23" s="30" t="s">
        <v>25</v>
      </c>
      <c r="R23" s="30" t="s">
        <v>26</v>
      </c>
      <c r="S23" s="28">
        <v>2028</v>
      </c>
      <c r="T23" s="32">
        <v>46934</v>
      </c>
      <c r="U23" s="31">
        <v>0.8</v>
      </c>
      <c r="V23" s="31"/>
      <c r="W23" s="36">
        <f t="shared" si="0"/>
        <v>0.8</v>
      </c>
      <c r="X23" s="31"/>
      <c r="Y23" s="31"/>
      <c r="Z23" s="31"/>
      <c r="AA23" s="52">
        <v>0.19800000000000001</v>
      </c>
      <c r="AB23" s="31">
        <v>0.19999999999999996</v>
      </c>
      <c r="AC23" s="50">
        <f t="shared" si="10"/>
        <v>204159.05</v>
      </c>
      <c r="AD23" s="32"/>
      <c r="AE23" s="20">
        <f t="shared" si="2"/>
        <v>4</v>
      </c>
      <c r="AF23" s="52">
        <f t="shared" si="3"/>
        <v>4.556411083121395E-2</v>
      </c>
      <c r="AG23" s="54">
        <f t="shared" si="4"/>
        <v>24.499085999999995</v>
      </c>
      <c r="AH23" s="20">
        <v>120</v>
      </c>
      <c r="AI23" s="20">
        <v>216.4995227995758</v>
      </c>
      <c r="AJ23" s="20">
        <v>943</v>
      </c>
      <c r="AK23" s="20">
        <v>430</v>
      </c>
      <c r="AL23" s="54">
        <f t="shared" si="5"/>
        <v>87.788391499999989</v>
      </c>
      <c r="AM23" s="54">
        <f t="shared" si="6"/>
        <v>70.230713199999997</v>
      </c>
      <c r="AN23" s="33">
        <v>93094.794803817596</v>
      </c>
      <c r="AO23" s="56">
        <f t="shared" si="7"/>
        <v>25979.942735949095</v>
      </c>
      <c r="AP23" s="58">
        <f t="shared" si="8"/>
        <v>1</v>
      </c>
      <c r="AQ23" s="59">
        <f t="shared" si="9"/>
        <v>3.0803932273477121</v>
      </c>
    </row>
    <row r="24" spans="1:43">
      <c r="A24" s="22" t="s">
        <v>461</v>
      </c>
      <c r="B24" s="22" t="s">
        <v>255</v>
      </c>
      <c r="C24" s="24" t="s">
        <v>409</v>
      </c>
      <c r="D24" s="38">
        <v>1</v>
      </c>
      <c r="E24" s="39" t="s">
        <v>770</v>
      </c>
      <c r="F24" s="40"/>
      <c r="G24" s="41">
        <v>2053</v>
      </c>
      <c r="H24" s="40"/>
      <c r="I24" s="40"/>
      <c r="J24" s="42">
        <v>204</v>
      </c>
      <c r="K24" s="43" t="s">
        <v>106</v>
      </c>
      <c r="L24" s="43" t="s">
        <v>107</v>
      </c>
      <c r="M24" s="42" t="s">
        <v>592</v>
      </c>
      <c r="N24" s="43" t="s">
        <v>108</v>
      </c>
      <c r="O24" s="43" t="s">
        <v>786</v>
      </c>
      <c r="P24" s="44">
        <v>750000</v>
      </c>
      <c r="Q24" s="45" t="s">
        <v>25</v>
      </c>
      <c r="R24" s="45" t="s">
        <v>789</v>
      </c>
      <c r="S24" s="42">
        <v>2026</v>
      </c>
      <c r="T24" s="46">
        <v>46295</v>
      </c>
      <c r="U24" s="47">
        <v>0.72499999999999998</v>
      </c>
      <c r="V24" s="47">
        <v>0.27500000000000002</v>
      </c>
      <c r="W24" s="48">
        <f t="shared" si="0"/>
        <v>1</v>
      </c>
      <c r="X24" s="47">
        <v>0.05</v>
      </c>
      <c r="Y24" s="47">
        <v>0</v>
      </c>
      <c r="Z24" s="47">
        <v>6.8000000000000005E-2</v>
      </c>
      <c r="AA24" s="53">
        <v>0.19800000000000001</v>
      </c>
      <c r="AB24" s="47"/>
      <c r="AC24" s="51">
        <v>187916</v>
      </c>
      <c r="AD24" s="46"/>
      <c r="AE24" s="40">
        <f t="shared" si="2"/>
        <v>0.75</v>
      </c>
      <c r="AF24" s="53">
        <f t="shared" si="3"/>
        <v>6.6461787130871232E-3</v>
      </c>
      <c r="AG24" s="55">
        <f t="shared" si="4"/>
        <v>22.56936</v>
      </c>
      <c r="AH24" s="40">
        <v>120</v>
      </c>
      <c r="AI24" s="40">
        <v>206</v>
      </c>
      <c r="AJ24" s="40">
        <v>913</v>
      </c>
      <c r="AK24" s="40">
        <v>600</v>
      </c>
      <c r="AL24" s="55">
        <f t="shared" si="5"/>
        <v>112.8468</v>
      </c>
      <c r="AM24" s="55">
        <f t="shared" si="6"/>
        <v>81.813929999999999</v>
      </c>
      <c r="AN24" s="49">
        <v>108000</v>
      </c>
      <c r="AO24" s="57">
        <f t="shared" si="7"/>
        <v>24720</v>
      </c>
      <c r="AP24" s="60">
        <f t="shared" si="8"/>
        <v>0.72499999999999998</v>
      </c>
      <c r="AQ24" s="61">
        <f t="shared" si="9"/>
        <v>3.5084123234942983</v>
      </c>
    </row>
    <row r="25" spans="1:43">
      <c r="A25" s="22" t="s">
        <v>462</v>
      </c>
      <c r="B25" s="22" t="s">
        <v>256</v>
      </c>
      <c r="C25" s="24" t="s">
        <v>408</v>
      </c>
      <c r="D25" s="25">
        <v>1</v>
      </c>
      <c r="E25" s="26" t="s">
        <v>770</v>
      </c>
      <c r="F25" s="20"/>
      <c r="G25" s="27">
        <v>2054</v>
      </c>
      <c r="H25" s="20"/>
      <c r="I25" s="20"/>
      <c r="J25" s="28">
        <v>205</v>
      </c>
      <c r="K25" s="29" t="s">
        <v>106</v>
      </c>
      <c r="L25" s="29" t="s">
        <v>109</v>
      </c>
      <c r="M25" s="28" t="s">
        <v>592</v>
      </c>
      <c r="N25" s="29" t="s">
        <v>108</v>
      </c>
      <c r="O25" s="29" t="s">
        <v>786</v>
      </c>
      <c r="P25" s="37">
        <v>750000</v>
      </c>
      <c r="Q25" s="30" t="s">
        <v>25</v>
      </c>
      <c r="R25" s="30" t="s">
        <v>789</v>
      </c>
      <c r="S25" s="28">
        <v>2026</v>
      </c>
      <c r="T25" s="32">
        <v>46295</v>
      </c>
      <c r="U25" s="31">
        <v>0.8</v>
      </c>
      <c r="V25" s="31">
        <v>0.19999999999999996</v>
      </c>
      <c r="W25" s="36">
        <f t="shared" si="0"/>
        <v>1</v>
      </c>
      <c r="X25" s="31">
        <v>0.05</v>
      </c>
      <c r="Y25" s="31">
        <v>0</v>
      </c>
      <c r="Z25" s="31">
        <v>6.8000000000000005E-2</v>
      </c>
      <c r="AA25" s="52">
        <v>0.19800000000000001</v>
      </c>
      <c r="AB25" s="31"/>
      <c r="AC25" s="50">
        <v>186731</v>
      </c>
      <c r="AD25" s="32"/>
      <c r="AE25" s="20">
        <f t="shared" si="2"/>
        <v>0.75</v>
      </c>
      <c r="AF25" s="52">
        <f t="shared" si="3"/>
        <v>8.0479011073911928E-3</v>
      </c>
      <c r="AG25" s="54">
        <f t="shared" si="4"/>
        <v>24.789072000000001</v>
      </c>
      <c r="AH25" s="20">
        <v>133</v>
      </c>
      <c r="AI25" s="20">
        <v>176</v>
      </c>
      <c r="AJ25" s="20">
        <v>1059</v>
      </c>
      <c r="AK25" s="20">
        <v>500</v>
      </c>
      <c r="AL25" s="54">
        <f t="shared" si="5"/>
        <v>93.191999999999993</v>
      </c>
      <c r="AM25" s="54">
        <f t="shared" si="6"/>
        <v>74.553600000000003</v>
      </c>
      <c r="AN25" s="33">
        <v>45000</v>
      </c>
      <c r="AO25" s="56">
        <f t="shared" si="7"/>
        <v>23408</v>
      </c>
      <c r="AP25" s="58">
        <f t="shared" si="8"/>
        <v>0.8</v>
      </c>
      <c r="AQ25" s="59">
        <f t="shared" si="9"/>
        <v>2.9191976905033981</v>
      </c>
    </row>
    <row r="26" spans="1:43">
      <c r="A26" s="22" t="s">
        <v>462</v>
      </c>
      <c r="B26" s="22" t="s">
        <v>257</v>
      </c>
      <c r="C26" s="24" t="s">
        <v>408</v>
      </c>
      <c r="D26" s="38">
        <v>1</v>
      </c>
      <c r="E26" s="39" t="s">
        <v>770</v>
      </c>
      <c r="F26" s="40"/>
      <c r="G26" s="41">
        <v>2054</v>
      </c>
      <c r="H26" s="40"/>
      <c r="I26" s="40"/>
      <c r="J26" s="42">
        <v>206</v>
      </c>
      <c r="K26" s="43" t="s">
        <v>106</v>
      </c>
      <c r="L26" s="43" t="s">
        <v>109</v>
      </c>
      <c r="M26" s="42" t="s">
        <v>592</v>
      </c>
      <c r="N26" s="43" t="s">
        <v>110</v>
      </c>
      <c r="O26" s="43" t="s">
        <v>786</v>
      </c>
      <c r="P26" s="44">
        <v>750000</v>
      </c>
      <c r="Q26" s="45" t="s">
        <v>25</v>
      </c>
      <c r="R26" s="45" t="s">
        <v>789</v>
      </c>
      <c r="S26" s="42">
        <v>2028</v>
      </c>
      <c r="T26" s="46">
        <v>47026</v>
      </c>
      <c r="U26" s="47">
        <v>0.8</v>
      </c>
      <c r="V26" s="47">
        <v>0.19999999999999996</v>
      </c>
      <c r="W26" s="48">
        <f t="shared" si="0"/>
        <v>1</v>
      </c>
      <c r="X26" s="47">
        <v>0.05</v>
      </c>
      <c r="Y26" s="47">
        <v>0</v>
      </c>
      <c r="Z26" s="47">
        <v>6.8000000000000005E-2</v>
      </c>
      <c r="AA26" s="53">
        <v>0.19800000000000001</v>
      </c>
      <c r="AB26" s="47"/>
      <c r="AC26" s="51">
        <v>186731</v>
      </c>
      <c r="AD26" s="46"/>
      <c r="AE26" s="40">
        <f t="shared" si="2"/>
        <v>0.75</v>
      </c>
      <c r="AF26" s="53">
        <f t="shared" si="3"/>
        <v>8.0479011073911928E-3</v>
      </c>
      <c r="AG26" s="55">
        <f t="shared" si="4"/>
        <v>24.789072000000001</v>
      </c>
      <c r="AH26" s="40">
        <v>133</v>
      </c>
      <c r="AI26" s="40">
        <v>176</v>
      </c>
      <c r="AJ26" s="40">
        <v>1059</v>
      </c>
      <c r="AK26" s="40">
        <v>500</v>
      </c>
      <c r="AL26" s="55">
        <f t="shared" si="5"/>
        <v>93.191999999999993</v>
      </c>
      <c r="AM26" s="55">
        <f t="shared" si="6"/>
        <v>74.553600000000003</v>
      </c>
      <c r="AN26" s="49">
        <v>45000</v>
      </c>
      <c r="AO26" s="57">
        <f t="shared" si="7"/>
        <v>23408</v>
      </c>
      <c r="AP26" s="60">
        <f t="shared" si="8"/>
        <v>0.8</v>
      </c>
      <c r="AQ26" s="61">
        <f t="shared" si="9"/>
        <v>2.9191976905033981</v>
      </c>
    </row>
    <row r="27" spans="1:43">
      <c r="A27" s="22" t="s">
        <v>463</v>
      </c>
      <c r="B27" s="22" t="s">
        <v>258</v>
      </c>
      <c r="C27" s="24" t="s">
        <v>407</v>
      </c>
      <c r="D27" s="25">
        <v>1</v>
      </c>
      <c r="E27" s="26" t="s">
        <v>770</v>
      </c>
      <c r="F27" s="20"/>
      <c r="G27" s="27">
        <v>2056</v>
      </c>
      <c r="H27" s="20"/>
      <c r="I27" s="20"/>
      <c r="J27" s="28">
        <v>207</v>
      </c>
      <c r="K27" s="29" t="s">
        <v>106</v>
      </c>
      <c r="L27" s="29" t="s">
        <v>111</v>
      </c>
      <c r="M27" s="28" t="s">
        <v>592</v>
      </c>
      <c r="N27" s="29" t="s">
        <v>112</v>
      </c>
      <c r="O27" s="29" t="s">
        <v>790</v>
      </c>
      <c r="P27" s="37">
        <v>0</v>
      </c>
      <c r="Q27" s="30" t="s">
        <v>25</v>
      </c>
      <c r="R27" s="30" t="s">
        <v>789</v>
      </c>
      <c r="S27" s="28">
        <v>2028</v>
      </c>
      <c r="T27" s="32">
        <v>46842</v>
      </c>
      <c r="U27" s="31">
        <v>0.79</v>
      </c>
      <c r="V27" s="31">
        <v>0.20999999999999996</v>
      </c>
      <c r="W27" s="36">
        <f t="shared" si="0"/>
        <v>1</v>
      </c>
      <c r="X27" s="31">
        <v>0.05</v>
      </c>
      <c r="Y27" s="31">
        <v>0</v>
      </c>
      <c r="Z27" s="31">
        <v>6.8000000000000005E-2</v>
      </c>
      <c r="AA27" s="52">
        <v>0.19800000000000001</v>
      </c>
      <c r="AB27" s="31"/>
      <c r="AC27" s="50">
        <v>201305</v>
      </c>
      <c r="AD27" s="32"/>
      <c r="AE27" s="20">
        <f t="shared" si="2"/>
        <v>0</v>
      </c>
      <c r="AF27" s="52">
        <f t="shared" si="3"/>
        <v>0</v>
      </c>
      <c r="AG27" s="54">
        <f t="shared" si="4"/>
        <v>21.793536</v>
      </c>
      <c r="AH27" s="20">
        <v>108</v>
      </c>
      <c r="AI27" s="20">
        <v>192</v>
      </c>
      <c r="AJ27" s="20">
        <v>1051</v>
      </c>
      <c r="AK27" s="20">
        <v>480</v>
      </c>
      <c r="AL27" s="54">
        <f t="shared" si="5"/>
        <v>96.860159999999993</v>
      </c>
      <c r="AM27" s="54">
        <f t="shared" si="6"/>
        <v>76.519526400000004</v>
      </c>
      <c r="AN27" s="33">
        <v>43200</v>
      </c>
      <c r="AO27" s="56">
        <f t="shared" si="7"/>
        <v>20736</v>
      </c>
      <c r="AP27" s="58">
        <f t="shared" si="8"/>
        <v>0.79</v>
      </c>
      <c r="AQ27" s="59">
        <f t="shared" si="9"/>
        <v>3.5111111111111115</v>
      </c>
    </row>
    <row r="28" spans="1:43">
      <c r="A28" s="22" t="s">
        <v>463</v>
      </c>
      <c r="B28" s="22" t="s">
        <v>259</v>
      </c>
      <c r="C28" s="24" t="s">
        <v>407</v>
      </c>
      <c r="D28" s="38">
        <v>1</v>
      </c>
      <c r="E28" s="39" t="s">
        <v>770</v>
      </c>
      <c r="F28" s="40"/>
      <c r="G28" s="41">
        <v>2056</v>
      </c>
      <c r="H28" s="40"/>
      <c r="I28" s="40"/>
      <c r="J28" s="42">
        <v>208</v>
      </c>
      <c r="K28" s="43" t="s">
        <v>106</v>
      </c>
      <c r="L28" s="43" t="s">
        <v>111</v>
      </c>
      <c r="M28" s="42" t="s">
        <v>592</v>
      </c>
      <c r="N28" s="43" t="s">
        <v>113</v>
      </c>
      <c r="O28" s="43" t="s">
        <v>790</v>
      </c>
      <c r="P28" s="44">
        <v>0</v>
      </c>
      <c r="Q28" s="45" t="s">
        <v>25</v>
      </c>
      <c r="R28" s="45" t="s">
        <v>789</v>
      </c>
      <c r="S28" s="42">
        <v>2030</v>
      </c>
      <c r="T28" s="46">
        <v>47572</v>
      </c>
      <c r="U28" s="47">
        <v>0.79</v>
      </c>
      <c r="V28" s="47">
        <v>0.20999999999999996</v>
      </c>
      <c r="W28" s="48">
        <f t="shared" si="0"/>
        <v>1</v>
      </c>
      <c r="X28" s="47">
        <v>0.05</v>
      </c>
      <c r="Y28" s="47">
        <v>0</v>
      </c>
      <c r="Z28" s="47">
        <v>6.8000000000000005E-2</v>
      </c>
      <c r="AA28" s="53">
        <v>0.19800000000000001</v>
      </c>
      <c r="AB28" s="47"/>
      <c r="AC28" s="51">
        <v>201305</v>
      </c>
      <c r="AD28" s="46"/>
      <c r="AE28" s="40">
        <f t="shared" si="2"/>
        <v>0</v>
      </c>
      <c r="AF28" s="53">
        <f t="shared" si="3"/>
        <v>0</v>
      </c>
      <c r="AG28" s="55">
        <f t="shared" si="4"/>
        <v>21.793536</v>
      </c>
      <c r="AH28" s="40">
        <v>108</v>
      </c>
      <c r="AI28" s="40">
        <v>192</v>
      </c>
      <c r="AJ28" s="40">
        <v>1051</v>
      </c>
      <c r="AK28" s="40">
        <v>480</v>
      </c>
      <c r="AL28" s="55">
        <f t="shared" si="5"/>
        <v>96.860159999999993</v>
      </c>
      <c r="AM28" s="55">
        <f t="shared" si="6"/>
        <v>76.519526400000004</v>
      </c>
      <c r="AN28" s="49">
        <v>43200</v>
      </c>
      <c r="AO28" s="57">
        <f t="shared" si="7"/>
        <v>20736</v>
      </c>
      <c r="AP28" s="60">
        <f t="shared" si="8"/>
        <v>0.79</v>
      </c>
      <c r="AQ28" s="61">
        <f t="shared" si="9"/>
        <v>3.5111111111111115</v>
      </c>
    </row>
    <row r="29" spans="1:43">
      <c r="A29" s="22" t="s">
        <v>464</v>
      </c>
      <c r="B29" s="22" t="s">
        <v>260</v>
      </c>
      <c r="C29" s="24" t="s">
        <v>406</v>
      </c>
      <c r="D29" s="25">
        <v>1</v>
      </c>
      <c r="E29" s="26" t="s">
        <v>770</v>
      </c>
      <c r="F29" s="20" t="s">
        <v>560</v>
      </c>
      <c r="G29" s="27">
        <v>2052</v>
      </c>
      <c r="H29" s="20"/>
      <c r="I29" s="20"/>
      <c r="J29" s="28">
        <v>209</v>
      </c>
      <c r="K29" s="29" t="s">
        <v>106</v>
      </c>
      <c r="L29" s="29" t="s">
        <v>114</v>
      </c>
      <c r="M29" s="28" t="s">
        <v>601</v>
      </c>
      <c r="N29" s="29" t="s">
        <v>558</v>
      </c>
      <c r="O29" s="29" t="s">
        <v>790</v>
      </c>
      <c r="P29" s="37">
        <v>0</v>
      </c>
      <c r="Q29" s="30" t="s">
        <v>25</v>
      </c>
      <c r="R29" s="30" t="s">
        <v>789</v>
      </c>
      <c r="S29" s="28">
        <v>2026</v>
      </c>
      <c r="T29" s="32">
        <v>46387</v>
      </c>
      <c r="U29" s="31">
        <v>0.8</v>
      </c>
      <c r="V29" s="31">
        <v>0.19999999999999996</v>
      </c>
      <c r="W29" s="36">
        <f t="shared" si="0"/>
        <v>1</v>
      </c>
      <c r="X29" s="31">
        <v>0.05</v>
      </c>
      <c r="Y29" s="31">
        <v>0</v>
      </c>
      <c r="Z29" s="31">
        <v>6.8000000000000005E-2</v>
      </c>
      <c r="AA29" s="52">
        <v>0.19800000000000001</v>
      </c>
      <c r="AB29" s="31"/>
      <c r="AC29" s="50">
        <f t="shared" ref="AC29:AC51" si="11">AI29*AJ29</f>
        <v>306340</v>
      </c>
      <c r="AD29" s="32"/>
      <c r="AE29" s="20">
        <f t="shared" si="2"/>
        <v>0</v>
      </c>
      <c r="AF29" s="52">
        <f t="shared" si="3"/>
        <v>0</v>
      </c>
      <c r="AG29" s="54">
        <f t="shared" si="4"/>
        <v>36.760800000000003</v>
      </c>
      <c r="AH29" s="20">
        <v>120</v>
      </c>
      <c r="AI29" s="20">
        <v>265</v>
      </c>
      <c r="AJ29" s="20">
        <v>1156</v>
      </c>
      <c r="AK29" s="20">
        <v>500</v>
      </c>
      <c r="AL29" s="54">
        <f t="shared" si="5"/>
        <v>153.16999999999999</v>
      </c>
      <c r="AM29" s="54">
        <f t="shared" si="6"/>
        <v>122.536</v>
      </c>
      <c r="AN29" s="33">
        <v>132616.47275086504</v>
      </c>
      <c r="AO29" s="56">
        <f t="shared" si="7"/>
        <v>31800</v>
      </c>
      <c r="AP29" s="58">
        <f t="shared" si="8"/>
        <v>0.8</v>
      </c>
      <c r="AQ29" s="59">
        <f t="shared" si="9"/>
        <v>3.333333333333333</v>
      </c>
    </row>
    <row r="30" spans="1:43">
      <c r="A30" s="22" t="s">
        <v>464</v>
      </c>
      <c r="B30" s="22" t="s">
        <v>557</v>
      </c>
      <c r="C30" s="24" t="s">
        <v>406</v>
      </c>
      <c r="D30" s="38">
        <v>1</v>
      </c>
      <c r="E30" s="39" t="s">
        <v>770</v>
      </c>
      <c r="F30" s="40" t="s">
        <v>560</v>
      </c>
      <c r="G30" s="41">
        <v>2052</v>
      </c>
      <c r="H30" s="40"/>
      <c r="I30" s="40"/>
      <c r="J30" s="42">
        <v>210</v>
      </c>
      <c r="K30" s="43" t="s">
        <v>106</v>
      </c>
      <c r="L30" s="43" t="s">
        <v>114</v>
      </c>
      <c r="M30" s="42" t="s">
        <v>601</v>
      </c>
      <c r="N30" s="43" t="s">
        <v>179</v>
      </c>
      <c r="O30" s="43" t="s">
        <v>790</v>
      </c>
      <c r="P30" s="44">
        <v>0</v>
      </c>
      <c r="Q30" s="45" t="s">
        <v>25</v>
      </c>
      <c r="R30" s="45" t="s">
        <v>789</v>
      </c>
      <c r="S30" s="42">
        <v>2027</v>
      </c>
      <c r="T30" s="46">
        <v>46660</v>
      </c>
      <c r="U30" s="47">
        <v>0.8</v>
      </c>
      <c r="V30" s="47">
        <v>0.19999999999999996</v>
      </c>
      <c r="W30" s="48">
        <f t="shared" si="0"/>
        <v>1</v>
      </c>
      <c r="X30" s="47">
        <v>0.05</v>
      </c>
      <c r="Y30" s="47">
        <v>0</v>
      </c>
      <c r="Z30" s="47">
        <v>6.8000000000000005E-2</v>
      </c>
      <c r="AA30" s="53">
        <v>0.19800000000000001</v>
      </c>
      <c r="AB30" s="47"/>
      <c r="AC30" s="51">
        <f t="shared" si="11"/>
        <v>306340</v>
      </c>
      <c r="AD30" s="46"/>
      <c r="AE30" s="40">
        <f t="shared" si="2"/>
        <v>0</v>
      </c>
      <c r="AF30" s="53">
        <f t="shared" si="3"/>
        <v>0</v>
      </c>
      <c r="AG30" s="55">
        <f t="shared" si="4"/>
        <v>36.760800000000003</v>
      </c>
      <c r="AH30" s="40">
        <v>120</v>
      </c>
      <c r="AI30" s="40">
        <v>265</v>
      </c>
      <c r="AJ30" s="40">
        <v>1156</v>
      </c>
      <c r="AK30" s="40">
        <v>500</v>
      </c>
      <c r="AL30" s="55">
        <f t="shared" si="5"/>
        <v>153.16999999999999</v>
      </c>
      <c r="AM30" s="55">
        <f t="shared" si="6"/>
        <v>122.536</v>
      </c>
      <c r="AN30" s="49">
        <v>132616.47275086504</v>
      </c>
      <c r="AO30" s="57">
        <f t="shared" si="7"/>
        <v>31800</v>
      </c>
      <c r="AP30" s="60">
        <f t="shared" si="8"/>
        <v>0.8</v>
      </c>
      <c r="AQ30" s="61">
        <f t="shared" si="9"/>
        <v>3.333333333333333</v>
      </c>
    </row>
    <row r="31" spans="1:43">
      <c r="A31" s="22" t="s">
        <v>465</v>
      </c>
      <c r="B31" s="22" t="s">
        <v>261</v>
      </c>
      <c r="C31" s="24" t="s">
        <v>406</v>
      </c>
      <c r="D31" s="25">
        <v>1</v>
      </c>
      <c r="E31" s="26" t="s">
        <v>770</v>
      </c>
      <c r="F31" s="20" t="s">
        <v>560</v>
      </c>
      <c r="G31" s="27">
        <v>2052</v>
      </c>
      <c r="H31" s="20"/>
      <c r="I31" s="20"/>
      <c r="J31" s="28">
        <v>211</v>
      </c>
      <c r="K31" s="29" t="s">
        <v>106</v>
      </c>
      <c r="L31" s="29" t="s">
        <v>114</v>
      </c>
      <c r="M31" s="28" t="s">
        <v>601</v>
      </c>
      <c r="N31" s="29" t="s">
        <v>48</v>
      </c>
      <c r="O31" s="29" t="s">
        <v>790</v>
      </c>
      <c r="P31" s="37">
        <v>0</v>
      </c>
      <c r="Q31" s="30" t="s">
        <v>25</v>
      </c>
      <c r="R31" s="30" t="s">
        <v>26</v>
      </c>
      <c r="S31" s="28">
        <v>2029</v>
      </c>
      <c r="T31" s="32">
        <v>47391</v>
      </c>
      <c r="U31" s="31">
        <v>0.8</v>
      </c>
      <c r="V31" s="31">
        <v>0.19999999999999996</v>
      </c>
      <c r="W31" s="36">
        <f t="shared" si="0"/>
        <v>1</v>
      </c>
      <c r="X31" s="31">
        <v>0.05</v>
      </c>
      <c r="Y31" s="31">
        <v>0</v>
      </c>
      <c r="Z31" s="31">
        <v>6.8000000000000005E-2</v>
      </c>
      <c r="AA31" s="52">
        <v>0.19800000000000001</v>
      </c>
      <c r="AB31" s="31"/>
      <c r="AC31" s="50">
        <f t="shared" si="11"/>
        <v>271890</v>
      </c>
      <c r="AD31" s="32"/>
      <c r="AE31" s="20">
        <f t="shared" si="2"/>
        <v>0</v>
      </c>
      <c r="AF31" s="52">
        <f t="shared" si="3"/>
        <v>0</v>
      </c>
      <c r="AG31" s="54">
        <f t="shared" si="4"/>
        <v>32.626800000000003</v>
      </c>
      <c r="AH31" s="20">
        <v>120</v>
      </c>
      <c r="AI31" s="20">
        <v>265</v>
      </c>
      <c r="AJ31" s="20">
        <v>1026</v>
      </c>
      <c r="AK31" s="20">
        <v>500</v>
      </c>
      <c r="AL31" s="54">
        <f t="shared" si="5"/>
        <v>135.94499999999999</v>
      </c>
      <c r="AM31" s="54">
        <f t="shared" si="6"/>
        <v>108.756</v>
      </c>
      <c r="AN31" s="33">
        <v>124993.82916531341</v>
      </c>
      <c r="AO31" s="56">
        <f t="shared" si="7"/>
        <v>31800</v>
      </c>
      <c r="AP31" s="58">
        <f t="shared" si="8"/>
        <v>0.8</v>
      </c>
      <c r="AQ31" s="59">
        <f t="shared" si="9"/>
        <v>3.333333333333333</v>
      </c>
    </row>
    <row r="32" spans="1:43">
      <c r="A32" s="22" t="s">
        <v>465</v>
      </c>
      <c r="B32" s="22" t="s">
        <v>262</v>
      </c>
      <c r="C32" s="24" t="s">
        <v>406</v>
      </c>
      <c r="D32" s="38">
        <v>1</v>
      </c>
      <c r="E32" s="39" t="s">
        <v>770</v>
      </c>
      <c r="F32" s="40" t="s">
        <v>560</v>
      </c>
      <c r="G32" s="41">
        <v>2052</v>
      </c>
      <c r="H32" s="40"/>
      <c r="I32" s="40"/>
      <c r="J32" s="42">
        <v>212</v>
      </c>
      <c r="K32" s="43" t="s">
        <v>106</v>
      </c>
      <c r="L32" s="43" t="s">
        <v>114</v>
      </c>
      <c r="M32" s="42" t="s">
        <v>601</v>
      </c>
      <c r="N32" s="43" t="s">
        <v>49</v>
      </c>
      <c r="O32" s="43" t="s">
        <v>790</v>
      </c>
      <c r="P32" s="44">
        <v>0</v>
      </c>
      <c r="Q32" s="45" t="s">
        <v>25</v>
      </c>
      <c r="R32" s="45" t="s">
        <v>26</v>
      </c>
      <c r="S32" s="42">
        <v>2030</v>
      </c>
      <c r="T32" s="46">
        <v>48487</v>
      </c>
      <c r="U32" s="47">
        <v>0.8</v>
      </c>
      <c r="V32" s="47">
        <v>0.19999999999999996</v>
      </c>
      <c r="W32" s="48">
        <f t="shared" si="0"/>
        <v>1</v>
      </c>
      <c r="X32" s="47">
        <v>0.05</v>
      </c>
      <c r="Y32" s="47">
        <v>0</v>
      </c>
      <c r="Z32" s="47">
        <v>6.8000000000000005E-2</v>
      </c>
      <c r="AA32" s="53">
        <v>0.19800000000000001</v>
      </c>
      <c r="AB32" s="47"/>
      <c r="AC32" s="51">
        <f t="shared" si="11"/>
        <v>271890</v>
      </c>
      <c r="AD32" s="46"/>
      <c r="AE32" s="40">
        <f t="shared" si="2"/>
        <v>0</v>
      </c>
      <c r="AF32" s="53">
        <f t="shared" si="3"/>
        <v>0</v>
      </c>
      <c r="AG32" s="55">
        <f t="shared" si="4"/>
        <v>32.626800000000003</v>
      </c>
      <c r="AH32" s="40">
        <v>120</v>
      </c>
      <c r="AI32" s="40">
        <v>265</v>
      </c>
      <c r="AJ32" s="40">
        <v>1026</v>
      </c>
      <c r="AK32" s="40">
        <v>500</v>
      </c>
      <c r="AL32" s="55">
        <f t="shared" si="5"/>
        <v>135.94499999999999</v>
      </c>
      <c r="AM32" s="55">
        <f t="shared" si="6"/>
        <v>108.756</v>
      </c>
      <c r="AN32" s="49">
        <v>124993.82916531341</v>
      </c>
      <c r="AO32" s="57">
        <f t="shared" si="7"/>
        <v>31800</v>
      </c>
      <c r="AP32" s="60">
        <f t="shared" si="8"/>
        <v>0.8</v>
      </c>
      <c r="AQ32" s="61">
        <f t="shared" si="9"/>
        <v>3.333333333333333</v>
      </c>
    </row>
    <row r="33" spans="1:43">
      <c r="A33" s="22" t="s">
        <v>438</v>
      </c>
      <c r="B33" s="22" t="s">
        <v>421</v>
      </c>
      <c r="C33" s="24" t="s">
        <v>418</v>
      </c>
      <c r="D33" s="25" t="s">
        <v>735</v>
      </c>
      <c r="E33" s="26" t="s">
        <v>770</v>
      </c>
      <c r="F33" s="20"/>
      <c r="G33" s="27">
        <v>2119</v>
      </c>
      <c r="H33" s="20"/>
      <c r="I33" s="20"/>
      <c r="J33" s="28">
        <v>136</v>
      </c>
      <c r="K33" s="29" t="s">
        <v>22</v>
      </c>
      <c r="L33" s="29" t="s">
        <v>23</v>
      </c>
      <c r="M33" s="28" t="s">
        <v>588</v>
      </c>
      <c r="N33" s="29" t="s">
        <v>24</v>
      </c>
      <c r="O33" s="29" t="s">
        <v>786</v>
      </c>
      <c r="P33" s="37">
        <v>84310</v>
      </c>
      <c r="Q33" s="30" t="s">
        <v>25</v>
      </c>
      <c r="R33" s="30" t="s">
        <v>26</v>
      </c>
      <c r="S33" s="28" t="s">
        <v>26</v>
      </c>
      <c r="T33" s="32" t="s">
        <v>26</v>
      </c>
      <c r="U33" s="31">
        <v>1</v>
      </c>
      <c r="V33" s="31"/>
      <c r="W33" s="36">
        <f t="shared" si="0"/>
        <v>1</v>
      </c>
      <c r="X33" s="31"/>
      <c r="Y33" s="31"/>
      <c r="Z33" s="31"/>
      <c r="AA33" s="52">
        <v>0.19800000000000001</v>
      </c>
      <c r="AB33" s="31"/>
      <c r="AC33" s="50">
        <f t="shared" si="11"/>
        <v>136646.78</v>
      </c>
      <c r="AD33" s="32"/>
      <c r="AE33" s="20">
        <f t="shared" si="2"/>
        <v>8.4309999999999996E-2</v>
      </c>
      <c r="AF33" s="52">
        <f t="shared" si="3"/>
        <v>2.281114718614718E-3</v>
      </c>
      <c r="AG33" s="54">
        <f t="shared" si="4"/>
        <v>10.931742400000001</v>
      </c>
      <c r="AH33" s="20">
        <v>80</v>
      </c>
      <c r="AI33" s="20">
        <v>221.82918831168831</v>
      </c>
      <c r="AJ33" s="20">
        <v>616</v>
      </c>
      <c r="AK33" s="20">
        <v>270.47838229338447</v>
      </c>
      <c r="AL33" s="54">
        <f t="shared" si="5"/>
        <v>36.960000000000008</v>
      </c>
      <c r="AM33" s="54">
        <f t="shared" si="6"/>
        <v>36.960000000000008</v>
      </c>
      <c r="AN33" s="33">
        <v>60000.000000000007</v>
      </c>
      <c r="AO33" s="56">
        <f t="shared" si="7"/>
        <v>17746.335064935065</v>
      </c>
      <c r="AP33" s="58">
        <f t="shared" si="8"/>
        <v>1</v>
      </c>
      <c r="AQ33" s="59">
        <f t="shared" si="9"/>
        <v>3.3551038664267794</v>
      </c>
    </row>
    <row r="34" spans="1:43">
      <c r="A34" s="22" t="s">
        <v>439</v>
      </c>
      <c r="B34" s="22" t="s">
        <v>426</v>
      </c>
      <c r="C34" s="24" t="s">
        <v>338</v>
      </c>
      <c r="D34" s="38">
        <v>1</v>
      </c>
      <c r="E34" s="39" t="s">
        <v>770</v>
      </c>
      <c r="F34" s="40"/>
      <c r="G34" s="41">
        <v>2115</v>
      </c>
      <c r="H34" s="40">
        <v>4</v>
      </c>
      <c r="I34" s="40"/>
      <c r="J34" s="42">
        <v>137</v>
      </c>
      <c r="K34" s="43" t="s">
        <v>22</v>
      </c>
      <c r="L34" s="43" t="s">
        <v>27</v>
      </c>
      <c r="M34" s="42" t="s">
        <v>588</v>
      </c>
      <c r="N34" s="43" t="s">
        <v>28</v>
      </c>
      <c r="O34" s="43" t="s">
        <v>786</v>
      </c>
      <c r="P34" s="44">
        <v>60000</v>
      </c>
      <c r="Q34" s="45" t="s">
        <v>25</v>
      </c>
      <c r="R34" s="45" t="s">
        <v>789</v>
      </c>
      <c r="S34" s="42" t="s">
        <v>26</v>
      </c>
      <c r="T34" s="46" t="s">
        <v>26</v>
      </c>
      <c r="U34" s="47">
        <v>1</v>
      </c>
      <c r="V34" s="47"/>
      <c r="W34" s="48">
        <f t="shared" si="0"/>
        <v>1</v>
      </c>
      <c r="X34" s="47"/>
      <c r="Y34" s="47"/>
      <c r="Z34" s="47"/>
      <c r="AA34" s="53">
        <v>0.19800000000000001</v>
      </c>
      <c r="AB34" s="47"/>
      <c r="AC34" s="51">
        <f t="shared" si="11"/>
        <v>11175.269999999999</v>
      </c>
      <c r="AD34" s="46"/>
      <c r="AE34" s="40">
        <f t="shared" si="2"/>
        <v>0.06</v>
      </c>
      <c r="AF34" s="53">
        <f t="shared" si="3"/>
        <v>1.3953488372093023E-2</v>
      </c>
      <c r="AG34" s="55">
        <f t="shared" si="4"/>
        <v>0.89402159999999986</v>
      </c>
      <c r="AH34" s="40">
        <v>80</v>
      </c>
      <c r="AI34" s="40">
        <v>259.89</v>
      </c>
      <c r="AJ34" s="40">
        <v>43</v>
      </c>
      <c r="AK34" s="40">
        <v>384.77817538189237</v>
      </c>
      <c r="AL34" s="55">
        <f t="shared" si="5"/>
        <v>4.3</v>
      </c>
      <c r="AM34" s="55">
        <f t="shared" si="6"/>
        <v>4.3</v>
      </c>
      <c r="AN34" s="49">
        <v>100000</v>
      </c>
      <c r="AO34" s="57">
        <f t="shared" si="7"/>
        <v>20791.199999999997</v>
      </c>
      <c r="AP34" s="60">
        <f t="shared" si="8"/>
        <v>1</v>
      </c>
      <c r="AQ34" s="61">
        <f t="shared" si="9"/>
        <v>4.5072354755909094</v>
      </c>
    </row>
    <row r="35" spans="1:43">
      <c r="A35" s="22" t="s">
        <v>439</v>
      </c>
      <c r="B35" s="22" t="s">
        <v>427</v>
      </c>
      <c r="C35" s="24" t="s">
        <v>338</v>
      </c>
      <c r="D35" s="25">
        <v>1</v>
      </c>
      <c r="E35" s="26" t="s">
        <v>770</v>
      </c>
      <c r="F35" s="20"/>
      <c r="G35" s="27">
        <v>2115</v>
      </c>
      <c r="H35" s="20">
        <v>4</v>
      </c>
      <c r="I35" s="20"/>
      <c r="J35" s="28">
        <v>138</v>
      </c>
      <c r="K35" s="29" t="s">
        <v>22</v>
      </c>
      <c r="L35" s="29" t="s">
        <v>27</v>
      </c>
      <c r="M35" s="28" t="s">
        <v>588</v>
      </c>
      <c r="N35" s="29" t="s">
        <v>29</v>
      </c>
      <c r="O35" s="29" t="s">
        <v>786</v>
      </c>
      <c r="P35" s="37">
        <v>60000</v>
      </c>
      <c r="Q35" s="30" t="s">
        <v>25</v>
      </c>
      <c r="R35" s="30" t="s">
        <v>789</v>
      </c>
      <c r="S35" s="28" t="s">
        <v>26</v>
      </c>
      <c r="T35" s="32" t="s">
        <v>26</v>
      </c>
      <c r="U35" s="31">
        <v>1</v>
      </c>
      <c r="V35" s="31"/>
      <c r="W35" s="36">
        <f t="shared" si="0"/>
        <v>1</v>
      </c>
      <c r="X35" s="31"/>
      <c r="Y35" s="31"/>
      <c r="Z35" s="31"/>
      <c r="AA35" s="52">
        <v>0.19800000000000001</v>
      </c>
      <c r="AB35" s="31"/>
      <c r="AC35" s="50">
        <f t="shared" si="11"/>
        <v>21556.5</v>
      </c>
      <c r="AD35" s="32"/>
      <c r="AE35" s="20">
        <f t="shared" si="2"/>
        <v>0.06</v>
      </c>
      <c r="AF35" s="52">
        <f t="shared" si="3"/>
        <v>6.4935064935064931E-3</v>
      </c>
      <c r="AG35" s="54">
        <f t="shared" si="4"/>
        <v>1.7245200000000001</v>
      </c>
      <c r="AH35" s="20">
        <v>80</v>
      </c>
      <c r="AI35" s="20">
        <v>279.95454545454544</v>
      </c>
      <c r="AJ35" s="20">
        <v>77</v>
      </c>
      <c r="AK35" s="20">
        <v>428.64101315148565</v>
      </c>
      <c r="AL35" s="54">
        <f t="shared" si="5"/>
        <v>9.24</v>
      </c>
      <c r="AM35" s="54">
        <f t="shared" si="6"/>
        <v>9.24</v>
      </c>
      <c r="AN35" s="33">
        <v>120000</v>
      </c>
      <c r="AO35" s="56">
        <f t="shared" si="7"/>
        <v>22396.363636363636</v>
      </c>
      <c r="AP35" s="58">
        <f t="shared" si="8"/>
        <v>1</v>
      </c>
      <c r="AQ35" s="59">
        <f t="shared" si="9"/>
        <v>5.1778629547441328</v>
      </c>
    </row>
    <row r="36" spans="1:43">
      <c r="A36" s="22" t="s">
        <v>432</v>
      </c>
      <c r="B36" s="22" t="s">
        <v>420</v>
      </c>
      <c r="C36" s="24" t="s">
        <v>339</v>
      </c>
      <c r="D36" s="38">
        <v>1</v>
      </c>
      <c r="E36" s="39" t="s">
        <v>770</v>
      </c>
      <c r="F36" s="40"/>
      <c r="G36" s="41">
        <v>2117</v>
      </c>
      <c r="H36" s="40"/>
      <c r="I36" s="40"/>
      <c r="J36" s="42">
        <v>145</v>
      </c>
      <c r="K36" s="43" t="s">
        <v>22</v>
      </c>
      <c r="L36" s="43" t="s">
        <v>37</v>
      </c>
      <c r="M36" s="42" t="s">
        <v>588</v>
      </c>
      <c r="N36" s="43" t="s">
        <v>38</v>
      </c>
      <c r="O36" s="43" t="s">
        <v>786</v>
      </c>
      <c r="P36" s="44">
        <v>2372312.5</v>
      </c>
      <c r="Q36" s="45" t="s">
        <v>25</v>
      </c>
      <c r="R36" s="45" t="s">
        <v>26</v>
      </c>
      <c r="S36" s="42" t="s">
        <v>26</v>
      </c>
      <c r="T36" s="46" t="s">
        <v>26</v>
      </c>
      <c r="U36" s="47">
        <v>1</v>
      </c>
      <c r="V36" s="47"/>
      <c r="W36" s="48">
        <f t="shared" si="0"/>
        <v>1</v>
      </c>
      <c r="X36" s="47"/>
      <c r="Y36" s="47"/>
      <c r="Z36" s="47"/>
      <c r="AA36" s="53">
        <v>0.19800000000000001</v>
      </c>
      <c r="AB36" s="47"/>
      <c r="AC36" s="51">
        <f t="shared" si="11"/>
        <v>43078.78</v>
      </c>
      <c r="AD36" s="46"/>
      <c r="AE36" s="40">
        <f t="shared" si="2"/>
        <v>2.3723125</v>
      </c>
      <c r="AF36" s="53">
        <f t="shared" si="3"/>
        <v>0.16474392361111112</v>
      </c>
      <c r="AG36" s="55">
        <f t="shared" si="4"/>
        <v>3.4463024000000004</v>
      </c>
      <c r="AH36" s="40">
        <v>80</v>
      </c>
      <c r="AI36" s="40">
        <v>2393.2655555555557</v>
      </c>
      <c r="AJ36" s="40">
        <v>18</v>
      </c>
      <c r="AK36" s="40">
        <v>334.27130480482498</v>
      </c>
      <c r="AL36" s="55">
        <f t="shared" si="5"/>
        <v>14.399999999999999</v>
      </c>
      <c r="AM36" s="55">
        <f t="shared" si="6"/>
        <v>14.399999999999999</v>
      </c>
      <c r="AN36" s="49">
        <v>800000</v>
      </c>
      <c r="AO36" s="57">
        <f t="shared" si="7"/>
        <v>191461.24444444446</v>
      </c>
      <c r="AP36" s="60">
        <f t="shared" si="8"/>
        <v>1</v>
      </c>
      <c r="AQ36" s="61">
        <f t="shared" si="9"/>
        <v>2.4748157847669208</v>
      </c>
    </row>
    <row r="37" spans="1:43">
      <c r="A37" s="22" t="s">
        <v>433</v>
      </c>
      <c r="B37" s="22" t="s">
        <v>205</v>
      </c>
      <c r="C37" s="24" t="s">
        <v>339</v>
      </c>
      <c r="D37" s="25">
        <v>1</v>
      </c>
      <c r="E37" s="26" t="s">
        <v>770</v>
      </c>
      <c r="F37" s="20"/>
      <c r="G37" s="27">
        <v>2116</v>
      </c>
      <c r="H37" s="20"/>
      <c r="I37" s="20"/>
      <c r="J37" s="28">
        <v>146</v>
      </c>
      <c r="K37" s="29" t="s">
        <v>22</v>
      </c>
      <c r="L37" s="29" t="s">
        <v>37</v>
      </c>
      <c r="M37" s="28" t="s">
        <v>588</v>
      </c>
      <c r="N37" s="29" t="s">
        <v>39</v>
      </c>
      <c r="O37" s="29" t="s">
        <v>786</v>
      </c>
      <c r="P37" s="37">
        <v>2372312.5</v>
      </c>
      <c r="Q37" s="30" t="s">
        <v>25</v>
      </c>
      <c r="R37" s="30" t="s">
        <v>26</v>
      </c>
      <c r="S37" s="28">
        <v>2026</v>
      </c>
      <c r="T37" s="32">
        <v>46387</v>
      </c>
      <c r="U37" s="31">
        <v>0.99</v>
      </c>
      <c r="V37" s="31"/>
      <c r="W37" s="36">
        <f t="shared" si="0"/>
        <v>0.99</v>
      </c>
      <c r="X37" s="31"/>
      <c r="Y37" s="31"/>
      <c r="Z37" s="31"/>
      <c r="AA37" s="52">
        <v>0.19800000000000001</v>
      </c>
      <c r="AB37" s="31">
        <v>1.0000000000000009E-2</v>
      </c>
      <c r="AC37" s="50">
        <f t="shared" si="11"/>
        <v>130680</v>
      </c>
      <c r="AD37" s="32"/>
      <c r="AE37" s="20">
        <f t="shared" si="2"/>
        <v>2.3723125</v>
      </c>
      <c r="AF37" s="52">
        <f t="shared" si="3"/>
        <v>4.2217675343996695E-2</v>
      </c>
      <c r="AG37" s="54">
        <f t="shared" si="4"/>
        <v>17.393508000000001</v>
      </c>
      <c r="AH37" s="20">
        <v>133.1</v>
      </c>
      <c r="AI37" s="20">
        <v>220</v>
      </c>
      <c r="AJ37" s="20">
        <v>594</v>
      </c>
      <c r="AK37" s="20">
        <v>430</v>
      </c>
      <c r="AL37" s="54">
        <f t="shared" si="5"/>
        <v>56.192399999999999</v>
      </c>
      <c r="AM37" s="54">
        <f t="shared" si="6"/>
        <v>55.630476000000002</v>
      </c>
      <c r="AN37" s="33">
        <v>94600</v>
      </c>
      <c r="AO37" s="56">
        <f t="shared" si="7"/>
        <v>29282</v>
      </c>
      <c r="AP37" s="58">
        <f t="shared" si="8"/>
        <v>1</v>
      </c>
      <c r="AQ37" s="59">
        <f t="shared" si="9"/>
        <v>2.842907533233948</v>
      </c>
    </row>
    <row r="38" spans="1:43">
      <c r="A38" s="22" t="s">
        <v>434</v>
      </c>
      <c r="B38" s="22" t="s">
        <v>206</v>
      </c>
      <c r="C38" s="24" t="s">
        <v>337</v>
      </c>
      <c r="D38" s="38">
        <v>1</v>
      </c>
      <c r="E38" s="39" t="s">
        <v>770</v>
      </c>
      <c r="F38" s="40"/>
      <c r="G38" s="41">
        <v>2121</v>
      </c>
      <c r="H38" s="40"/>
      <c r="I38" s="40"/>
      <c r="J38" s="42">
        <v>147</v>
      </c>
      <c r="K38" s="43" t="s">
        <v>22</v>
      </c>
      <c r="L38" s="43" t="s">
        <v>40</v>
      </c>
      <c r="M38" s="42" t="s">
        <v>588</v>
      </c>
      <c r="N38" s="43" t="s">
        <v>41</v>
      </c>
      <c r="O38" s="43" t="s">
        <v>791</v>
      </c>
      <c r="P38" s="44">
        <v>4800000</v>
      </c>
      <c r="Q38" s="45" t="s">
        <v>25</v>
      </c>
      <c r="R38" s="45" t="s">
        <v>789</v>
      </c>
      <c r="S38" s="42">
        <v>2026</v>
      </c>
      <c r="T38" s="46">
        <v>46387</v>
      </c>
      <c r="U38" s="47">
        <v>1</v>
      </c>
      <c r="V38" s="47"/>
      <c r="W38" s="48">
        <f t="shared" si="0"/>
        <v>1</v>
      </c>
      <c r="X38" s="47"/>
      <c r="Y38" s="47"/>
      <c r="Z38" s="47"/>
      <c r="AA38" s="53">
        <v>0.19800000000000001</v>
      </c>
      <c r="AB38" s="47"/>
      <c r="AC38" s="51">
        <f t="shared" si="11"/>
        <v>268937.01</v>
      </c>
      <c r="AD38" s="46"/>
      <c r="AE38" s="40">
        <f t="shared" si="2"/>
        <v>4.8</v>
      </c>
      <c r="AF38" s="53">
        <f t="shared" si="3"/>
        <v>2.7458531589294403E-2</v>
      </c>
      <c r="AG38" s="55">
        <f t="shared" si="4"/>
        <v>35.795516031000005</v>
      </c>
      <c r="AH38" s="40">
        <v>133.1</v>
      </c>
      <c r="AI38" s="40">
        <v>279.27</v>
      </c>
      <c r="AJ38" s="40">
        <v>963</v>
      </c>
      <c r="AK38" s="40">
        <v>650</v>
      </c>
      <c r="AL38" s="55">
        <f t="shared" si="5"/>
        <v>174.8090565</v>
      </c>
      <c r="AM38" s="55">
        <f t="shared" si="6"/>
        <v>174.8090565</v>
      </c>
      <c r="AN38" s="49">
        <v>168559.39150485437</v>
      </c>
      <c r="AO38" s="57">
        <f t="shared" si="7"/>
        <v>37170.837</v>
      </c>
      <c r="AP38" s="60">
        <f t="shared" si="8"/>
        <v>1</v>
      </c>
      <c r="AQ38" s="61">
        <f t="shared" si="9"/>
        <v>4.3061173644525264</v>
      </c>
    </row>
    <row r="39" spans="1:43">
      <c r="A39" s="22" t="s">
        <v>434</v>
      </c>
      <c r="B39" s="22" t="s">
        <v>207</v>
      </c>
      <c r="C39" s="24" t="s">
        <v>337</v>
      </c>
      <c r="D39" s="25">
        <v>1</v>
      </c>
      <c r="E39" s="26" t="s">
        <v>770</v>
      </c>
      <c r="F39" s="20"/>
      <c r="G39" s="27">
        <v>2121</v>
      </c>
      <c r="H39" s="20"/>
      <c r="I39" s="20"/>
      <c r="J39" s="28">
        <v>148</v>
      </c>
      <c r="K39" s="29" t="s">
        <v>22</v>
      </c>
      <c r="L39" s="29" t="s">
        <v>40</v>
      </c>
      <c r="M39" s="28" t="s">
        <v>588</v>
      </c>
      <c r="N39" s="29" t="s">
        <v>42</v>
      </c>
      <c r="O39" s="29" t="s">
        <v>791</v>
      </c>
      <c r="P39" s="37">
        <v>4800000</v>
      </c>
      <c r="Q39" s="30" t="s">
        <v>25</v>
      </c>
      <c r="R39" s="30" t="s">
        <v>789</v>
      </c>
      <c r="S39" s="28">
        <v>2027</v>
      </c>
      <c r="T39" s="32">
        <v>46752</v>
      </c>
      <c r="U39" s="31">
        <v>1</v>
      </c>
      <c r="V39" s="31"/>
      <c r="W39" s="36">
        <f t="shared" si="0"/>
        <v>1</v>
      </c>
      <c r="X39" s="31"/>
      <c r="Y39" s="31"/>
      <c r="Z39" s="31"/>
      <c r="AA39" s="52">
        <v>0.19800000000000001</v>
      </c>
      <c r="AB39" s="31"/>
      <c r="AC39" s="50">
        <f t="shared" si="11"/>
        <v>269216.27999999997</v>
      </c>
      <c r="AD39" s="32"/>
      <c r="AE39" s="20">
        <f t="shared" si="2"/>
        <v>4.8</v>
      </c>
      <c r="AF39" s="52">
        <f t="shared" si="3"/>
        <v>2.7430047635363601E-2</v>
      </c>
      <c r="AG39" s="54">
        <f t="shared" si="4"/>
        <v>35.832686868000003</v>
      </c>
      <c r="AH39" s="20">
        <v>133.1</v>
      </c>
      <c r="AI39" s="20">
        <v>279.27</v>
      </c>
      <c r="AJ39" s="20">
        <v>964</v>
      </c>
      <c r="AK39" s="20">
        <v>650</v>
      </c>
      <c r="AL39" s="54">
        <f t="shared" si="5"/>
        <v>174.99058199999999</v>
      </c>
      <c r="AM39" s="54">
        <f t="shared" si="6"/>
        <v>174.99058199999999</v>
      </c>
      <c r="AN39" s="33">
        <v>168559.39150485437</v>
      </c>
      <c r="AO39" s="56">
        <f t="shared" si="7"/>
        <v>37170.837</v>
      </c>
      <c r="AP39" s="58">
        <f t="shared" si="8"/>
        <v>1</v>
      </c>
      <c r="AQ39" s="59">
        <f t="shared" si="9"/>
        <v>4.3066455971390027</v>
      </c>
    </row>
    <row r="40" spans="1:43">
      <c r="A40" s="22" t="s">
        <v>435</v>
      </c>
      <c r="B40" s="22" t="s">
        <v>208</v>
      </c>
      <c r="C40" s="24" t="s">
        <v>337</v>
      </c>
      <c r="D40" s="38">
        <v>1</v>
      </c>
      <c r="E40" s="39" t="s">
        <v>770</v>
      </c>
      <c r="F40" s="40"/>
      <c r="G40" s="41">
        <v>2121</v>
      </c>
      <c r="H40" s="40"/>
      <c r="I40" s="40"/>
      <c r="J40" s="42">
        <v>149</v>
      </c>
      <c r="K40" s="43" t="s">
        <v>22</v>
      </c>
      <c r="L40" s="43" t="s">
        <v>40</v>
      </c>
      <c r="M40" s="42" t="s">
        <v>588</v>
      </c>
      <c r="N40" s="43" t="s">
        <v>29</v>
      </c>
      <c r="O40" s="43" t="s">
        <v>791</v>
      </c>
      <c r="P40" s="44">
        <v>4800000</v>
      </c>
      <c r="Q40" s="45" t="s">
        <v>25</v>
      </c>
      <c r="R40" s="45" t="s">
        <v>789</v>
      </c>
      <c r="S40" s="42">
        <v>2028</v>
      </c>
      <c r="T40" s="46">
        <v>47118</v>
      </c>
      <c r="U40" s="47">
        <v>1</v>
      </c>
      <c r="V40" s="47"/>
      <c r="W40" s="48">
        <f t="shared" si="0"/>
        <v>1</v>
      </c>
      <c r="X40" s="47"/>
      <c r="Y40" s="47"/>
      <c r="Z40" s="47"/>
      <c r="AA40" s="53">
        <v>0.19800000000000001</v>
      </c>
      <c r="AB40" s="47"/>
      <c r="AC40" s="51">
        <f t="shared" si="11"/>
        <v>410455.51</v>
      </c>
      <c r="AD40" s="46"/>
      <c r="AE40" s="40">
        <f t="shared" si="2"/>
        <v>4.8</v>
      </c>
      <c r="AF40" s="53">
        <f t="shared" si="3"/>
        <v>2.338864935690594E-2</v>
      </c>
      <c r="AG40" s="55">
        <f t="shared" si="4"/>
        <v>54.631628380999999</v>
      </c>
      <c r="AH40" s="40">
        <v>133.1</v>
      </c>
      <c r="AI40" s="40">
        <v>239.89217416715371</v>
      </c>
      <c r="AJ40" s="40">
        <v>1711</v>
      </c>
      <c r="AK40" s="40">
        <v>500</v>
      </c>
      <c r="AL40" s="55">
        <f t="shared" si="5"/>
        <v>205.227755</v>
      </c>
      <c r="AM40" s="55">
        <f t="shared" si="6"/>
        <v>205.227755</v>
      </c>
      <c r="AN40" s="49">
        <v>119946.08708357686</v>
      </c>
      <c r="AO40" s="57">
        <f t="shared" si="7"/>
        <v>31929.648381648156</v>
      </c>
      <c r="AP40" s="60">
        <f t="shared" si="8"/>
        <v>1</v>
      </c>
      <c r="AQ40" s="61">
        <f t="shared" si="9"/>
        <v>3.4531740184593414</v>
      </c>
    </row>
    <row r="41" spans="1:43">
      <c r="A41" s="22" t="s">
        <v>436</v>
      </c>
      <c r="B41" s="22" t="s">
        <v>209</v>
      </c>
      <c r="C41" s="24" t="s">
        <v>337</v>
      </c>
      <c r="D41" s="25">
        <v>1</v>
      </c>
      <c r="E41" s="26" t="s">
        <v>770</v>
      </c>
      <c r="F41" s="20"/>
      <c r="G41" s="27">
        <v>2121</v>
      </c>
      <c r="H41" s="20"/>
      <c r="I41" s="20"/>
      <c r="J41" s="28">
        <v>150</v>
      </c>
      <c r="K41" s="29" t="s">
        <v>22</v>
      </c>
      <c r="L41" s="29" t="s">
        <v>40</v>
      </c>
      <c r="M41" s="28" t="s">
        <v>588</v>
      </c>
      <c r="N41" s="29" t="s">
        <v>43</v>
      </c>
      <c r="O41" s="29" t="s">
        <v>791</v>
      </c>
      <c r="P41" s="37">
        <v>4800000</v>
      </c>
      <c r="Q41" s="30" t="s">
        <v>25</v>
      </c>
      <c r="R41" s="30" t="s">
        <v>789</v>
      </c>
      <c r="S41" s="28">
        <v>2030</v>
      </c>
      <c r="T41" s="32">
        <v>47848</v>
      </c>
      <c r="U41" s="31">
        <v>1</v>
      </c>
      <c r="V41" s="31"/>
      <c r="W41" s="36">
        <f t="shared" si="0"/>
        <v>1</v>
      </c>
      <c r="X41" s="31"/>
      <c r="Y41" s="31"/>
      <c r="Z41" s="31"/>
      <c r="AA41" s="52">
        <v>0.19800000000000001</v>
      </c>
      <c r="AB41" s="31"/>
      <c r="AC41" s="50">
        <f t="shared" si="11"/>
        <v>61214.159999999996</v>
      </c>
      <c r="AD41" s="32"/>
      <c r="AE41" s="20">
        <f t="shared" si="2"/>
        <v>4.8</v>
      </c>
      <c r="AF41" s="52">
        <f t="shared" si="3"/>
        <v>0.15682645976029075</v>
      </c>
      <c r="AG41" s="54">
        <f t="shared" si="4"/>
        <v>8.1476046959999984</v>
      </c>
      <c r="AH41" s="20">
        <v>133.1</v>
      </c>
      <c r="AI41" s="20">
        <v>275.73945945945945</v>
      </c>
      <c r="AJ41" s="20">
        <v>222</v>
      </c>
      <c r="AK41" s="20">
        <v>500</v>
      </c>
      <c r="AL41" s="54">
        <f t="shared" si="5"/>
        <v>30.60708</v>
      </c>
      <c r="AM41" s="54">
        <f t="shared" si="6"/>
        <v>30.60708</v>
      </c>
      <c r="AN41" s="33">
        <v>137869.72972972973</v>
      </c>
      <c r="AO41" s="56">
        <f t="shared" si="7"/>
        <v>36700.922054054048</v>
      </c>
      <c r="AP41" s="58">
        <f t="shared" si="8"/>
        <v>1</v>
      </c>
      <c r="AQ41" s="59">
        <f t="shared" si="9"/>
        <v>2.363918324557412</v>
      </c>
    </row>
    <row r="42" spans="1:43">
      <c r="A42" s="22" t="s">
        <v>437</v>
      </c>
      <c r="B42" s="22" t="s">
        <v>210</v>
      </c>
      <c r="C42" s="24" t="s">
        <v>337</v>
      </c>
      <c r="D42" s="38">
        <v>1</v>
      </c>
      <c r="E42" s="39" t="s">
        <v>770</v>
      </c>
      <c r="F42" s="40"/>
      <c r="G42" s="41">
        <v>2121</v>
      </c>
      <c r="H42" s="40"/>
      <c r="I42" s="40"/>
      <c r="J42" s="42">
        <v>151</v>
      </c>
      <c r="K42" s="43" t="s">
        <v>22</v>
      </c>
      <c r="L42" s="43" t="s">
        <v>40</v>
      </c>
      <c r="M42" s="42" t="s">
        <v>588</v>
      </c>
      <c r="N42" s="43" t="s">
        <v>44</v>
      </c>
      <c r="O42" s="43" t="s">
        <v>791</v>
      </c>
      <c r="P42" s="44">
        <v>4800000</v>
      </c>
      <c r="Q42" s="45" t="s">
        <v>25</v>
      </c>
      <c r="R42" s="45" t="s">
        <v>789</v>
      </c>
      <c r="S42" s="42">
        <v>2029</v>
      </c>
      <c r="T42" s="46">
        <v>47483</v>
      </c>
      <c r="U42" s="47">
        <v>1</v>
      </c>
      <c r="V42" s="47"/>
      <c r="W42" s="48">
        <f t="shared" si="0"/>
        <v>1</v>
      </c>
      <c r="X42" s="47"/>
      <c r="Y42" s="47"/>
      <c r="Z42" s="47"/>
      <c r="AA42" s="53">
        <v>0.19800000000000001</v>
      </c>
      <c r="AB42" s="47"/>
      <c r="AC42" s="51">
        <f t="shared" si="11"/>
        <v>319811.90999999997</v>
      </c>
      <c r="AD42" s="46"/>
      <c r="AE42" s="40">
        <f t="shared" si="2"/>
        <v>4.8</v>
      </c>
      <c r="AF42" s="53">
        <f t="shared" si="3"/>
        <v>3.0017643808199636E-2</v>
      </c>
      <c r="AG42" s="55">
        <f t="shared" si="4"/>
        <v>42.566965220999997</v>
      </c>
      <c r="AH42" s="40">
        <v>133.1</v>
      </c>
      <c r="AI42" s="40">
        <v>366.33666666666664</v>
      </c>
      <c r="AJ42" s="40">
        <v>873</v>
      </c>
      <c r="AK42" s="40">
        <v>500</v>
      </c>
      <c r="AL42" s="55">
        <f t="shared" si="5"/>
        <v>159.90595500000001</v>
      </c>
      <c r="AM42" s="55">
        <f t="shared" si="6"/>
        <v>159.90595500000001</v>
      </c>
      <c r="AN42" s="49">
        <v>183168.33333333331</v>
      </c>
      <c r="AO42" s="57">
        <f t="shared" si="7"/>
        <v>48759.410333333326</v>
      </c>
      <c r="AP42" s="60">
        <f t="shared" si="8"/>
        <v>1</v>
      </c>
      <c r="AQ42" s="61">
        <f t="shared" si="9"/>
        <v>3.3758961388792161</v>
      </c>
    </row>
    <row r="43" spans="1:43">
      <c r="A43" s="22" t="s">
        <v>442</v>
      </c>
      <c r="B43" s="22" t="s">
        <v>211</v>
      </c>
      <c r="C43" s="24" t="s">
        <v>340</v>
      </c>
      <c r="D43" s="25">
        <v>1</v>
      </c>
      <c r="E43" s="26" t="s">
        <v>770</v>
      </c>
      <c r="F43" s="20"/>
      <c r="G43" s="27">
        <v>2118</v>
      </c>
      <c r="H43" s="20"/>
      <c r="I43" s="20"/>
      <c r="J43" s="28">
        <v>152</v>
      </c>
      <c r="K43" s="29" t="s">
        <v>22</v>
      </c>
      <c r="L43" s="29" t="s">
        <v>45</v>
      </c>
      <c r="M43" s="28" t="s">
        <v>588</v>
      </c>
      <c r="N43" s="29" t="s">
        <v>46</v>
      </c>
      <c r="O43" s="29" t="s">
        <v>790</v>
      </c>
      <c r="P43" s="37">
        <v>0</v>
      </c>
      <c r="Q43" s="30" t="s">
        <v>25</v>
      </c>
      <c r="R43" s="30" t="s">
        <v>789</v>
      </c>
      <c r="S43" s="28">
        <v>2026</v>
      </c>
      <c r="T43" s="32">
        <v>46387</v>
      </c>
      <c r="U43" s="31">
        <v>1</v>
      </c>
      <c r="V43" s="31"/>
      <c r="W43" s="36">
        <f t="shared" si="0"/>
        <v>1</v>
      </c>
      <c r="X43" s="31"/>
      <c r="Y43" s="31"/>
      <c r="Z43" s="31"/>
      <c r="AA43" s="52">
        <v>0.19800000000000001</v>
      </c>
      <c r="AB43" s="31"/>
      <c r="AC43" s="50">
        <f t="shared" si="11"/>
        <v>195570.85</v>
      </c>
      <c r="AD43" s="32"/>
      <c r="AE43" s="20">
        <f t="shared" si="2"/>
        <v>0</v>
      </c>
      <c r="AF43" s="52">
        <f t="shared" si="3"/>
        <v>0</v>
      </c>
      <c r="AG43" s="54">
        <f t="shared" si="4"/>
        <v>26.030480134999998</v>
      </c>
      <c r="AH43" s="20">
        <v>133.1</v>
      </c>
      <c r="AI43" s="20">
        <v>210.9717907227616</v>
      </c>
      <c r="AJ43" s="20">
        <v>927</v>
      </c>
      <c r="AK43" s="20">
        <v>430</v>
      </c>
      <c r="AL43" s="54">
        <f t="shared" si="5"/>
        <v>84.095465500000003</v>
      </c>
      <c r="AM43" s="54">
        <f t="shared" si="6"/>
        <v>84.095465500000003</v>
      </c>
      <c r="AN43" s="33">
        <v>90717.87001078749</v>
      </c>
      <c r="AO43" s="56">
        <f t="shared" si="7"/>
        <v>28080.345345199567</v>
      </c>
      <c r="AP43" s="58">
        <f t="shared" si="8"/>
        <v>1</v>
      </c>
      <c r="AQ43" s="59">
        <f t="shared" si="9"/>
        <v>3.230653643876785</v>
      </c>
    </row>
    <row r="44" spans="1:43">
      <c r="A44" s="22" t="s">
        <v>443</v>
      </c>
      <c r="B44" s="22" t="s">
        <v>212</v>
      </c>
      <c r="C44" s="24" t="s">
        <v>341</v>
      </c>
      <c r="D44" s="38">
        <v>1</v>
      </c>
      <c r="E44" s="39" t="s">
        <v>770</v>
      </c>
      <c r="F44" s="40"/>
      <c r="G44" s="41">
        <v>2123</v>
      </c>
      <c r="H44" s="40"/>
      <c r="I44" s="40"/>
      <c r="J44" s="42">
        <v>153</v>
      </c>
      <c r="K44" s="43" t="s">
        <v>22</v>
      </c>
      <c r="L44" s="43" t="s">
        <v>47</v>
      </c>
      <c r="M44" s="42" t="s">
        <v>588</v>
      </c>
      <c r="N44" s="43" t="s">
        <v>48</v>
      </c>
      <c r="O44" s="43" t="s">
        <v>786</v>
      </c>
      <c r="P44" s="44">
        <v>114285.71</v>
      </c>
      <c r="Q44" s="45" t="s">
        <v>25</v>
      </c>
      <c r="R44" s="45" t="s">
        <v>789</v>
      </c>
      <c r="S44" s="42">
        <v>2028</v>
      </c>
      <c r="T44" s="46">
        <v>47118</v>
      </c>
      <c r="U44" s="47">
        <v>1</v>
      </c>
      <c r="V44" s="47"/>
      <c r="W44" s="48">
        <f t="shared" si="0"/>
        <v>1</v>
      </c>
      <c r="X44" s="47"/>
      <c r="Y44" s="47"/>
      <c r="Z44" s="47"/>
      <c r="AA44" s="53">
        <v>0.19800000000000001</v>
      </c>
      <c r="AB44" s="47"/>
      <c r="AC44" s="51">
        <f t="shared" si="11"/>
        <v>121800</v>
      </c>
      <c r="AD44" s="46"/>
      <c r="AE44" s="40">
        <f t="shared" si="2"/>
        <v>0.11428571000000001</v>
      </c>
      <c r="AF44" s="53">
        <f t="shared" si="3"/>
        <v>2.4059136457412322E-3</v>
      </c>
      <c r="AG44" s="55">
        <f t="shared" si="4"/>
        <v>16.211580000000001</v>
      </c>
      <c r="AH44" s="40">
        <v>133.1</v>
      </c>
      <c r="AI44" s="40">
        <v>210</v>
      </c>
      <c r="AJ44" s="40">
        <v>580</v>
      </c>
      <c r="AK44" s="40">
        <v>390</v>
      </c>
      <c r="AL44" s="55">
        <f t="shared" si="5"/>
        <v>47.502000000000002</v>
      </c>
      <c r="AM44" s="55">
        <f t="shared" si="6"/>
        <v>47.502000000000002</v>
      </c>
      <c r="AN44" s="49">
        <v>81900</v>
      </c>
      <c r="AO44" s="57">
        <f t="shared" si="7"/>
        <v>27951</v>
      </c>
      <c r="AP44" s="60">
        <f t="shared" si="8"/>
        <v>1</v>
      </c>
      <c r="AQ44" s="61">
        <f t="shared" si="9"/>
        <v>2.9096159948751654</v>
      </c>
    </row>
    <row r="45" spans="1:43">
      <c r="A45" s="22" t="s">
        <v>443</v>
      </c>
      <c r="B45" s="22" t="s">
        <v>213</v>
      </c>
      <c r="C45" s="24" t="s">
        <v>341</v>
      </c>
      <c r="D45" s="25">
        <v>1</v>
      </c>
      <c r="E45" s="26" t="s">
        <v>770</v>
      </c>
      <c r="F45" s="20"/>
      <c r="G45" s="27">
        <v>2123</v>
      </c>
      <c r="H45" s="20"/>
      <c r="I45" s="20"/>
      <c r="J45" s="28">
        <v>154</v>
      </c>
      <c r="K45" s="29" t="s">
        <v>22</v>
      </c>
      <c r="L45" s="29" t="s">
        <v>47</v>
      </c>
      <c r="M45" s="28" t="s">
        <v>588</v>
      </c>
      <c r="N45" s="29" t="s">
        <v>49</v>
      </c>
      <c r="O45" s="29" t="s">
        <v>786</v>
      </c>
      <c r="P45" s="37">
        <v>114285.71</v>
      </c>
      <c r="Q45" s="30" t="s">
        <v>25</v>
      </c>
      <c r="R45" s="30" t="s">
        <v>789</v>
      </c>
      <c r="S45" s="28">
        <v>2030</v>
      </c>
      <c r="T45" s="32">
        <v>47848</v>
      </c>
      <c r="U45" s="31">
        <v>1</v>
      </c>
      <c r="V45" s="31"/>
      <c r="W45" s="36">
        <f t="shared" si="0"/>
        <v>1</v>
      </c>
      <c r="X45" s="31"/>
      <c r="Y45" s="31"/>
      <c r="Z45" s="31"/>
      <c r="AA45" s="52">
        <v>0.19800000000000001</v>
      </c>
      <c r="AB45" s="31"/>
      <c r="AC45" s="50">
        <f t="shared" si="11"/>
        <v>105000</v>
      </c>
      <c r="AD45" s="32"/>
      <c r="AE45" s="20">
        <f t="shared" si="2"/>
        <v>0.11428571000000001</v>
      </c>
      <c r="AF45" s="52">
        <f t="shared" si="3"/>
        <v>2.7908598290598292E-3</v>
      </c>
      <c r="AG45" s="54">
        <f t="shared" si="4"/>
        <v>13.9755</v>
      </c>
      <c r="AH45" s="20">
        <v>133.1</v>
      </c>
      <c r="AI45" s="20">
        <v>210</v>
      </c>
      <c r="AJ45" s="20">
        <v>500</v>
      </c>
      <c r="AK45" s="20">
        <v>390</v>
      </c>
      <c r="AL45" s="54">
        <f t="shared" si="5"/>
        <v>40.950000000000003</v>
      </c>
      <c r="AM45" s="54">
        <f t="shared" si="6"/>
        <v>40.950000000000003</v>
      </c>
      <c r="AN45" s="33">
        <v>81900</v>
      </c>
      <c r="AO45" s="56">
        <f t="shared" si="7"/>
        <v>27951</v>
      </c>
      <c r="AP45" s="58">
        <f t="shared" si="8"/>
        <v>1</v>
      </c>
      <c r="AQ45" s="59">
        <f t="shared" si="9"/>
        <v>2.9063607383990511</v>
      </c>
    </row>
    <row r="46" spans="1:43">
      <c r="A46" s="22" t="s">
        <v>443</v>
      </c>
      <c r="B46" s="22" t="s">
        <v>214</v>
      </c>
      <c r="C46" s="24" t="s">
        <v>341</v>
      </c>
      <c r="D46" s="38">
        <v>1</v>
      </c>
      <c r="E46" s="39" t="s">
        <v>770</v>
      </c>
      <c r="F46" s="40"/>
      <c r="G46" s="41">
        <v>2123</v>
      </c>
      <c r="H46" s="40"/>
      <c r="I46" s="40"/>
      <c r="J46" s="42">
        <v>155</v>
      </c>
      <c r="K46" s="43" t="s">
        <v>22</v>
      </c>
      <c r="L46" s="43" t="s">
        <v>47</v>
      </c>
      <c r="M46" s="42" t="s">
        <v>588</v>
      </c>
      <c r="N46" s="43" t="s">
        <v>50</v>
      </c>
      <c r="O46" s="43" t="s">
        <v>786</v>
      </c>
      <c r="P46" s="44">
        <v>114285.71</v>
      </c>
      <c r="Q46" s="45" t="s">
        <v>25</v>
      </c>
      <c r="R46" s="45" t="s">
        <v>789</v>
      </c>
      <c r="S46" s="42">
        <v>2032</v>
      </c>
      <c r="T46" s="46">
        <v>48579</v>
      </c>
      <c r="U46" s="47">
        <v>1</v>
      </c>
      <c r="V46" s="47"/>
      <c r="W46" s="48">
        <f t="shared" si="0"/>
        <v>1</v>
      </c>
      <c r="X46" s="47"/>
      <c r="Y46" s="47"/>
      <c r="Z46" s="47"/>
      <c r="AA46" s="53">
        <v>0.19800000000000001</v>
      </c>
      <c r="AB46" s="47"/>
      <c r="AC46" s="51">
        <f t="shared" si="11"/>
        <v>105000</v>
      </c>
      <c r="AD46" s="46"/>
      <c r="AE46" s="40">
        <f t="shared" si="2"/>
        <v>0.11428571000000001</v>
      </c>
      <c r="AF46" s="53">
        <f t="shared" si="3"/>
        <v>2.7908598290598292E-3</v>
      </c>
      <c r="AG46" s="55">
        <f t="shared" si="4"/>
        <v>13.9755</v>
      </c>
      <c r="AH46" s="40">
        <v>133.1</v>
      </c>
      <c r="AI46" s="40">
        <v>210</v>
      </c>
      <c r="AJ46" s="40">
        <v>500</v>
      </c>
      <c r="AK46" s="40">
        <v>390</v>
      </c>
      <c r="AL46" s="55">
        <f t="shared" si="5"/>
        <v>40.950000000000003</v>
      </c>
      <c r="AM46" s="55">
        <f t="shared" si="6"/>
        <v>40.950000000000003</v>
      </c>
      <c r="AN46" s="49">
        <v>81900</v>
      </c>
      <c r="AO46" s="57">
        <f t="shared" si="7"/>
        <v>27951</v>
      </c>
      <c r="AP46" s="60">
        <f t="shared" si="8"/>
        <v>1</v>
      </c>
      <c r="AQ46" s="61">
        <f t="shared" si="9"/>
        <v>2.9063607383990511</v>
      </c>
    </row>
    <row r="47" spans="1:43">
      <c r="A47" s="22" t="s">
        <v>443</v>
      </c>
      <c r="B47" s="22" t="s">
        <v>215</v>
      </c>
      <c r="C47" s="24" t="s">
        <v>341</v>
      </c>
      <c r="D47" s="25">
        <v>1</v>
      </c>
      <c r="E47" s="26" t="s">
        <v>770</v>
      </c>
      <c r="F47" s="20"/>
      <c r="G47" s="27">
        <v>2123</v>
      </c>
      <c r="H47" s="20"/>
      <c r="I47" s="20"/>
      <c r="J47" s="28">
        <v>156</v>
      </c>
      <c r="K47" s="29" t="s">
        <v>22</v>
      </c>
      <c r="L47" s="29" t="s">
        <v>47</v>
      </c>
      <c r="M47" s="28" t="s">
        <v>588</v>
      </c>
      <c r="N47" s="29" t="s">
        <v>51</v>
      </c>
      <c r="O47" s="29" t="s">
        <v>786</v>
      </c>
      <c r="P47" s="37">
        <v>114285.71</v>
      </c>
      <c r="Q47" s="30" t="s">
        <v>25</v>
      </c>
      <c r="R47" s="30" t="s">
        <v>789</v>
      </c>
      <c r="S47" s="28">
        <v>2034</v>
      </c>
      <c r="T47" s="32">
        <v>49309</v>
      </c>
      <c r="U47" s="31">
        <v>1</v>
      </c>
      <c r="V47" s="31"/>
      <c r="W47" s="36">
        <f t="shared" si="0"/>
        <v>1</v>
      </c>
      <c r="X47" s="31"/>
      <c r="Y47" s="31"/>
      <c r="Z47" s="31"/>
      <c r="AA47" s="52">
        <v>0.19800000000000001</v>
      </c>
      <c r="AB47" s="31"/>
      <c r="AC47" s="50">
        <f t="shared" si="11"/>
        <v>105000</v>
      </c>
      <c r="AD47" s="32"/>
      <c r="AE47" s="20">
        <f t="shared" si="2"/>
        <v>0.11428571000000001</v>
      </c>
      <c r="AF47" s="52">
        <f t="shared" si="3"/>
        <v>2.7908598290598292E-3</v>
      </c>
      <c r="AG47" s="54">
        <f t="shared" si="4"/>
        <v>13.9755</v>
      </c>
      <c r="AH47" s="20">
        <v>133.1</v>
      </c>
      <c r="AI47" s="20">
        <v>210</v>
      </c>
      <c r="AJ47" s="20">
        <v>500</v>
      </c>
      <c r="AK47" s="20">
        <v>390</v>
      </c>
      <c r="AL47" s="54">
        <f t="shared" si="5"/>
        <v>40.950000000000003</v>
      </c>
      <c r="AM47" s="54">
        <f t="shared" si="6"/>
        <v>40.950000000000003</v>
      </c>
      <c r="AN47" s="33">
        <v>81900</v>
      </c>
      <c r="AO47" s="56">
        <f t="shared" si="7"/>
        <v>27951</v>
      </c>
      <c r="AP47" s="58">
        <f t="shared" si="8"/>
        <v>1</v>
      </c>
      <c r="AQ47" s="59">
        <f t="shared" si="9"/>
        <v>2.9063607383990511</v>
      </c>
    </row>
    <row r="48" spans="1:43">
      <c r="A48" s="22" t="s">
        <v>443</v>
      </c>
      <c r="B48" s="22" t="s">
        <v>216</v>
      </c>
      <c r="C48" s="24" t="s">
        <v>341</v>
      </c>
      <c r="D48" s="38">
        <v>1</v>
      </c>
      <c r="E48" s="39" t="s">
        <v>770</v>
      </c>
      <c r="F48" s="40"/>
      <c r="G48" s="41">
        <v>2123</v>
      </c>
      <c r="H48" s="40"/>
      <c r="I48" s="40"/>
      <c r="J48" s="42">
        <v>157</v>
      </c>
      <c r="K48" s="43" t="s">
        <v>22</v>
      </c>
      <c r="L48" s="43" t="s">
        <v>47</v>
      </c>
      <c r="M48" s="42" t="s">
        <v>588</v>
      </c>
      <c r="N48" s="43" t="s">
        <v>52</v>
      </c>
      <c r="O48" s="43" t="s">
        <v>786</v>
      </c>
      <c r="P48" s="44">
        <v>114285.71</v>
      </c>
      <c r="Q48" s="45" t="s">
        <v>25</v>
      </c>
      <c r="R48" s="45" t="s">
        <v>789</v>
      </c>
      <c r="S48" s="42">
        <v>2036</v>
      </c>
      <c r="T48" s="46">
        <v>50040</v>
      </c>
      <c r="U48" s="47">
        <v>1</v>
      </c>
      <c r="V48" s="47"/>
      <c r="W48" s="48">
        <f t="shared" si="0"/>
        <v>1</v>
      </c>
      <c r="X48" s="47"/>
      <c r="Y48" s="47"/>
      <c r="Z48" s="47"/>
      <c r="AA48" s="53">
        <v>0.19800000000000001</v>
      </c>
      <c r="AB48" s="47"/>
      <c r="AC48" s="51">
        <f t="shared" si="11"/>
        <v>105000</v>
      </c>
      <c r="AD48" s="46"/>
      <c r="AE48" s="40">
        <f t="shared" si="2"/>
        <v>0.11428571000000001</v>
      </c>
      <c r="AF48" s="53">
        <f t="shared" si="3"/>
        <v>2.7908598290598292E-3</v>
      </c>
      <c r="AG48" s="55">
        <f t="shared" si="4"/>
        <v>13.9755</v>
      </c>
      <c r="AH48" s="40">
        <v>133.1</v>
      </c>
      <c r="AI48" s="40">
        <v>210</v>
      </c>
      <c r="AJ48" s="40">
        <v>500</v>
      </c>
      <c r="AK48" s="40">
        <v>390</v>
      </c>
      <c r="AL48" s="55">
        <f t="shared" si="5"/>
        <v>40.950000000000003</v>
      </c>
      <c r="AM48" s="55">
        <f t="shared" si="6"/>
        <v>40.950000000000003</v>
      </c>
      <c r="AN48" s="49">
        <v>81900</v>
      </c>
      <c r="AO48" s="57">
        <f t="shared" si="7"/>
        <v>27951</v>
      </c>
      <c r="AP48" s="60">
        <f t="shared" si="8"/>
        <v>1</v>
      </c>
      <c r="AQ48" s="61">
        <f t="shared" si="9"/>
        <v>2.9063607383990511</v>
      </c>
    </row>
    <row r="49" spans="1:43">
      <c r="A49" s="22" t="s">
        <v>443</v>
      </c>
      <c r="B49" s="22" t="s">
        <v>217</v>
      </c>
      <c r="C49" s="24" t="s">
        <v>341</v>
      </c>
      <c r="D49" s="25">
        <v>1</v>
      </c>
      <c r="E49" s="26" t="s">
        <v>770</v>
      </c>
      <c r="F49" s="20"/>
      <c r="G49" s="27">
        <v>2123</v>
      </c>
      <c r="H49" s="20"/>
      <c r="I49" s="20"/>
      <c r="J49" s="28">
        <v>158</v>
      </c>
      <c r="K49" s="29" t="s">
        <v>22</v>
      </c>
      <c r="L49" s="29" t="s">
        <v>47</v>
      </c>
      <c r="M49" s="28" t="s">
        <v>588</v>
      </c>
      <c r="N49" s="29" t="s">
        <v>53</v>
      </c>
      <c r="O49" s="29" t="s">
        <v>786</v>
      </c>
      <c r="P49" s="37">
        <v>114285.71</v>
      </c>
      <c r="Q49" s="30" t="s">
        <v>25</v>
      </c>
      <c r="R49" s="30" t="s">
        <v>789</v>
      </c>
      <c r="S49" s="28">
        <v>2038</v>
      </c>
      <c r="T49" s="32">
        <v>50770</v>
      </c>
      <c r="U49" s="31">
        <v>1</v>
      </c>
      <c r="V49" s="31"/>
      <c r="W49" s="36">
        <f t="shared" si="0"/>
        <v>1</v>
      </c>
      <c r="X49" s="31"/>
      <c r="Y49" s="31"/>
      <c r="Z49" s="31"/>
      <c r="AA49" s="52">
        <v>0.19800000000000001</v>
      </c>
      <c r="AB49" s="31"/>
      <c r="AC49" s="50">
        <f t="shared" si="11"/>
        <v>105000</v>
      </c>
      <c r="AD49" s="32"/>
      <c r="AE49" s="20">
        <f t="shared" si="2"/>
        <v>0.11428571000000001</v>
      </c>
      <c r="AF49" s="52">
        <f t="shared" si="3"/>
        <v>2.7908598290598292E-3</v>
      </c>
      <c r="AG49" s="54">
        <f t="shared" si="4"/>
        <v>13.9755</v>
      </c>
      <c r="AH49" s="20">
        <v>133.1</v>
      </c>
      <c r="AI49" s="20">
        <v>210</v>
      </c>
      <c r="AJ49" s="20">
        <v>500</v>
      </c>
      <c r="AK49" s="20">
        <v>390</v>
      </c>
      <c r="AL49" s="54">
        <f t="shared" si="5"/>
        <v>40.950000000000003</v>
      </c>
      <c r="AM49" s="54">
        <f t="shared" si="6"/>
        <v>40.950000000000003</v>
      </c>
      <c r="AN49" s="33">
        <v>81900</v>
      </c>
      <c r="AO49" s="56">
        <f t="shared" si="7"/>
        <v>27951</v>
      </c>
      <c r="AP49" s="58">
        <f t="shared" si="8"/>
        <v>1</v>
      </c>
      <c r="AQ49" s="59">
        <f t="shared" si="9"/>
        <v>2.9063607383990511</v>
      </c>
    </row>
    <row r="50" spans="1:43">
      <c r="A50" s="22" t="s">
        <v>443</v>
      </c>
      <c r="B50" s="22" t="s">
        <v>218</v>
      </c>
      <c r="C50" s="24" t="s">
        <v>341</v>
      </c>
      <c r="D50" s="38">
        <v>1</v>
      </c>
      <c r="E50" s="39" t="s">
        <v>770</v>
      </c>
      <c r="F50" s="40"/>
      <c r="G50" s="41">
        <v>2123</v>
      </c>
      <c r="H50" s="40"/>
      <c r="I50" s="40"/>
      <c r="J50" s="42">
        <v>159</v>
      </c>
      <c r="K50" s="43" t="s">
        <v>22</v>
      </c>
      <c r="L50" s="43" t="s">
        <v>47</v>
      </c>
      <c r="M50" s="42" t="s">
        <v>588</v>
      </c>
      <c r="N50" s="43" t="s">
        <v>54</v>
      </c>
      <c r="O50" s="43" t="s">
        <v>786</v>
      </c>
      <c r="P50" s="44">
        <v>114285.71</v>
      </c>
      <c r="Q50" s="45" t="s">
        <v>25</v>
      </c>
      <c r="R50" s="45" t="s">
        <v>789</v>
      </c>
      <c r="S50" s="42">
        <v>2040</v>
      </c>
      <c r="T50" s="46">
        <v>51501</v>
      </c>
      <c r="U50" s="47">
        <v>1</v>
      </c>
      <c r="V50" s="47"/>
      <c r="W50" s="48">
        <f t="shared" si="0"/>
        <v>1</v>
      </c>
      <c r="X50" s="47"/>
      <c r="Y50" s="47"/>
      <c r="Z50" s="47"/>
      <c r="AA50" s="53">
        <v>0.19800000000000001</v>
      </c>
      <c r="AB50" s="47"/>
      <c r="AC50" s="51">
        <f t="shared" si="11"/>
        <v>105000</v>
      </c>
      <c r="AD50" s="46"/>
      <c r="AE50" s="40">
        <f t="shared" si="2"/>
        <v>0.11428571000000001</v>
      </c>
      <c r="AF50" s="53">
        <f t="shared" si="3"/>
        <v>2.7908598290598292E-3</v>
      </c>
      <c r="AG50" s="55">
        <f t="shared" si="4"/>
        <v>13.9755</v>
      </c>
      <c r="AH50" s="40">
        <v>133.1</v>
      </c>
      <c r="AI50" s="40">
        <v>210</v>
      </c>
      <c r="AJ50" s="40">
        <v>500</v>
      </c>
      <c r="AK50" s="40">
        <v>390</v>
      </c>
      <c r="AL50" s="55">
        <f t="shared" si="5"/>
        <v>40.950000000000003</v>
      </c>
      <c r="AM50" s="55">
        <f t="shared" si="6"/>
        <v>40.950000000000003</v>
      </c>
      <c r="AN50" s="49">
        <v>81900</v>
      </c>
      <c r="AO50" s="57">
        <f t="shared" si="7"/>
        <v>27951</v>
      </c>
      <c r="AP50" s="60">
        <f t="shared" si="8"/>
        <v>1</v>
      </c>
      <c r="AQ50" s="61">
        <f t="shared" si="9"/>
        <v>2.9063607383990511</v>
      </c>
    </row>
    <row r="51" spans="1:43">
      <c r="A51" s="22" t="s">
        <v>444</v>
      </c>
      <c r="B51" s="22" t="s">
        <v>219</v>
      </c>
      <c r="C51" s="24" t="s">
        <v>342</v>
      </c>
      <c r="D51" s="25">
        <v>1</v>
      </c>
      <c r="E51" s="26" t="s">
        <v>770</v>
      </c>
      <c r="F51" s="20"/>
      <c r="G51" s="27">
        <v>2120</v>
      </c>
      <c r="H51" s="20"/>
      <c r="I51" s="20"/>
      <c r="J51" s="28">
        <v>160</v>
      </c>
      <c r="K51" s="29" t="s">
        <v>22</v>
      </c>
      <c r="L51" s="29" t="s">
        <v>55</v>
      </c>
      <c r="M51" s="28" t="s">
        <v>588</v>
      </c>
      <c r="N51" s="29" t="s">
        <v>24</v>
      </c>
      <c r="O51" s="29" t="s">
        <v>786</v>
      </c>
      <c r="P51" s="37">
        <v>9700000</v>
      </c>
      <c r="Q51" s="30" t="s">
        <v>25</v>
      </c>
      <c r="R51" s="30" t="s">
        <v>26</v>
      </c>
      <c r="S51" s="28" t="s">
        <v>26</v>
      </c>
      <c r="T51" s="32" t="s">
        <v>26</v>
      </c>
      <c r="U51" s="31">
        <v>1</v>
      </c>
      <c r="V51" s="31"/>
      <c r="W51" s="36">
        <f t="shared" si="0"/>
        <v>1</v>
      </c>
      <c r="X51" s="31"/>
      <c r="Y51" s="31"/>
      <c r="Z51" s="31"/>
      <c r="AA51" s="52">
        <v>0.19800000000000001</v>
      </c>
      <c r="AB51" s="31"/>
      <c r="AC51" s="50">
        <f t="shared" si="11"/>
        <v>751970</v>
      </c>
      <c r="AD51" s="32"/>
      <c r="AE51" s="20">
        <f t="shared" si="2"/>
        <v>9.6999999999999993</v>
      </c>
      <c r="AF51" s="52">
        <f t="shared" si="3"/>
        <v>0.19399999999999998</v>
      </c>
      <c r="AG51" s="54">
        <f t="shared" si="4"/>
        <v>60.157600000000009</v>
      </c>
      <c r="AH51" s="20">
        <v>80</v>
      </c>
      <c r="AI51" s="20">
        <v>1503.94</v>
      </c>
      <c r="AJ51" s="20">
        <v>500</v>
      </c>
      <c r="AK51" s="20">
        <v>66.492014309081483</v>
      </c>
      <c r="AL51" s="54">
        <f t="shared" si="5"/>
        <v>50</v>
      </c>
      <c r="AM51" s="54">
        <f t="shared" si="6"/>
        <v>50</v>
      </c>
      <c r="AN51" s="33">
        <v>100000.00000000001</v>
      </c>
      <c r="AO51" s="56">
        <f t="shared" si="7"/>
        <v>120315.20000000001</v>
      </c>
      <c r="AP51" s="58">
        <f t="shared" si="8"/>
        <v>1</v>
      </c>
      <c r="AQ51" s="59">
        <f t="shared" si="9"/>
        <v>0.71574173747738246</v>
      </c>
    </row>
    <row r="52" spans="1:43">
      <c r="A52" s="22" t="s">
        <v>440</v>
      </c>
      <c r="B52" s="22" t="s">
        <v>676</v>
      </c>
      <c r="C52" s="24" t="s">
        <v>419</v>
      </c>
      <c r="D52" s="38">
        <v>1</v>
      </c>
      <c r="E52" s="39" t="s">
        <v>770</v>
      </c>
      <c r="F52" s="40"/>
      <c r="G52" s="41">
        <v>2584</v>
      </c>
      <c r="H52" s="40"/>
      <c r="I52" s="40"/>
      <c r="J52" s="42">
        <v>139</v>
      </c>
      <c r="K52" s="43" t="s">
        <v>22</v>
      </c>
      <c r="L52" s="43" t="s">
        <v>30</v>
      </c>
      <c r="M52" s="42" t="s">
        <v>588</v>
      </c>
      <c r="N52" s="43" t="s">
        <v>31</v>
      </c>
      <c r="O52" s="43" t="s">
        <v>786</v>
      </c>
      <c r="P52" s="44">
        <v>4000000</v>
      </c>
      <c r="Q52" s="45" t="s">
        <v>25</v>
      </c>
      <c r="R52" s="45" t="s">
        <v>789</v>
      </c>
      <c r="S52" s="42">
        <v>2026</v>
      </c>
      <c r="T52" s="46">
        <v>46387</v>
      </c>
      <c r="U52" s="47">
        <v>1</v>
      </c>
      <c r="V52" s="47"/>
      <c r="W52" s="48">
        <f t="shared" ref="W52:W83" si="12">SUM(U52:V52)</f>
        <v>1</v>
      </c>
      <c r="X52" s="47"/>
      <c r="Y52" s="47"/>
      <c r="Z52" s="47"/>
      <c r="AA52" s="53">
        <v>0.19800000000000001</v>
      </c>
      <c r="AB52" s="47"/>
      <c r="AC52" s="51">
        <f t="shared" ref="AC52:AC69" si="13">AI52*AJ52</f>
        <v>297407.69</v>
      </c>
      <c r="AD52" s="46"/>
      <c r="AE52" s="40">
        <f t="shared" ref="AE52:AE83" si="14">P52/10^6</f>
        <v>4</v>
      </c>
      <c r="AF52" s="53">
        <f t="shared" ref="AF52:AF83" si="15">IF(AL52=0,0,AE52/AL52)</f>
        <v>2.2415918924849142E-2</v>
      </c>
      <c r="AG52" s="55">
        <f t="shared" ref="AG52:AG83" si="16">(AH52*AI52*AJ52)/10^6</f>
        <v>39.584963539</v>
      </c>
      <c r="AH52" s="40">
        <v>133.1</v>
      </c>
      <c r="AI52" s="40">
        <v>216.61157319737799</v>
      </c>
      <c r="AJ52" s="40">
        <v>1373</v>
      </c>
      <c r="AK52" s="40">
        <v>600</v>
      </c>
      <c r="AL52" s="55">
        <f t="shared" ref="AL52:AL83" si="17">(AK52*AJ52*AI52)/10^6</f>
        <v>178.444614</v>
      </c>
      <c r="AM52" s="55">
        <f t="shared" ref="AM52:AM83" si="18">AL52*U52</f>
        <v>178.444614</v>
      </c>
      <c r="AN52" s="49">
        <v>129966.9439184268</v>
      </c>
      <c r="AO52" s="57">
        <f t="shared" ref="AO52:AO83" si="19">AH52*AI52</f>
        <v>28831.000392571008</v>
      </c>
      <c r="AP52" s="60">
        <f t="shared" ref="AP52:AP83" si="20">U52+AB52</f>
        <v>1</v>
      </c>
      <c r="AQ52" s="61">
        <f t="shared" ref="AQ52:AQ83" si="21">AL52*AP52/(AG52+AE52)</f>
        <v>4.0941783475470173</v>
      </c>
    </row>
    <row r="53" spans="1:43">
      <c r="A53" s="22" t="s">
        <v>441</v>
      </c>
      <c r="B53" s="22" t="s">
        <v>677</v>
      </c>
      <c r="C53" s="24" t="s">
        <v>419</v>
      </c>
      <c r="D53" s="25">
        <v>0</v>
      </c>
      <c r="E53" s="26" t="s">
        <v>770</v>
      </c>
      <c r="F53" s="20"/>
      <c r="G53" s="27" t="s">
        <v>784</v>
      </c>
      <c r="H53" s="20"/>
      <c r="I53" s="20"/>
      <c r="J53" s="28">
        <v>140</v>
      </c>
      <c r="K53" s="29" t="s">
        <v>22</v>
      </c>
      <c r="L53" s="29" t="s">
        <v>30</v>
      </c>
      <c r="M53" s="28" t="s">
        <v>588</v>
      </c>
      <c r="N53" s="29" t="s">
        <v>32</v>
      </c>
      <c r="O53" s="29" t="s">
        <v>790</v>
      </c>
      <c r="P53" s="37">
        <v>0</v>
      </c>
      <c r="Q53" s="30" t="s">
        <v>25</v>
      </c>
      <c r="R53" s="30" t="s">
        <v>26</v>
      </c>
      <c r="S53" s="28">
        <v>2028</v>
      </c>
      <c r="T53" s="32">
        <v>47118</v>
      </c>
      <c r="U53" s="31">
        <v>0.9</v>
      </c>
      <c r="V53" s="31"/>
      <c r="W53" s="36">
        <f t="shared" si="12"/>
        <v>0.9</v>
      </c>
      <c r="X53" s="31"/>
      <c r="Y53" s="31"/>
      <c r="Z53" s="31"/>
      <c r="AA53" s="52">
        <v>0.19800000000000001</v>
      </c>
      <c r="AB53" s="31">
        <v>9.9999999999999978E-2</v>
      </c>
      <c r="AC53" s="50">
        <f t="shared" si="13"/>
        <v>197371.09310850437</v>
      </c>
      <c r="AD53" s="32"/>
      <c r="AE53" s="20">
        <f t="shared" si="14"/>
        <v>0</v>
      </c>
      <c r="AF53" s="52">
        <f t="shared" si="15"/>
        <v>0</v>
      </c>
      <c r="AG53" s="54">
        <f t="shared" si="16"/>
        <v>26.270092492741931</v>
      </c>
      <c r="AH53" s="20">
        <v>133.1</v>
      </c>
      <c r="AI53" s="20">
        <v>219.30121456500487</v>
      </c>
      <c r="AJ53" s="20">
        <v>900</v>
      </c>
      <c r="AK53" s="20">
        <v>600</v>
      </c>
      <c r="AL53" s="54">
        <f t="shared" si="17"/>
        <v>118.42265586510264</v>
      </c>
      <c r="AM53" s="54">
        <f t="shared" si="18"/>
        <v>106.58039027859238</v>
      </c>
      <c r="AN53" s="33">
        <v>131580.72873900292</v>
      </c>
      <c r="AO53" s="56">
        <f t="shared" si="19"/>
        <v>29188.991658602146</v>
      </c>
      <c r="AP53" s="58">
        <f t="shared" si="20"/>
        <v>1</v>
      </c>
      <c r="AQ53" s="59">
        <f t="shared" si="21"/>
        <v>4.5078888054094675</v>
      </c>
    </row>
    <row r="54" spans="1:43">
      <c r="A54" s="22" t="s">
        <v>441</v>
      </c>
      <c r="B54" s="22" t="s">
        <v>678</v>
      </c>
      <c r="C54" s="24" t="s">
        <v>419</v>
      </c>
      <c r="D54" s="38">
        <v>0</v>
      </c>
      <c r="E54" s="39" t="s">
        <v>770</v>
      </c>
      <c r="F54" s="40"/>
      <c r="G54" s="41" t="s">
        <v>784</v>
      </c>
      <c r="H54" s="40"/>
      <c r="I54" s="40"/>
      <c r="J54" s="42">
        <v>141</v>
      </c>
      <c r="K54" s="43" t="s">
        <v>22</v>
      </c>
      <c r="L54" s="43" t="s">
        <v>30</v>
      </c>
      <c r="M54" s="42" t="s">
        <v>588</v>
      </c>
      <c r="N54" s="43" t="s">
        <v>33</v>
      </c>
      <c r="O54" s="43" t="s">
        <v>790</v>
      </c>
      <c r="P54" s="44">
        <v>0</v>
      </c>
      <c r="Q54" s="45" t="s">
        <v>25</v>
      </c>
      <c r="R54" s="45" t="s">
        <v>26</v>
      </c>
      <c r="S54" s="42">
        <v>2029</v>
      </c>
      <c r="T54" s="46">
        <v>47483</v>
      </c>
      <c r="U54" s="47">
        <v>0.9</v>
      </c>
      <c r="V54" s="47"/>
      <c r="W54" s="48">
        <f t="shared" si="12"/>
        <v>0.9</v>
      </c>
      <c r="X54" s="47"/>
      <c r="Y54" s="47"/>
      <c r="Z54" s="47"/>
      <c r="AA54" s="53">
        <v>0.19800000000000001</v>
      </c>
      <c r="AB54" s="47">
        <v>9.9999999999999978E-2</v>
      </c>
      <c r="AC54" s="51">
        <f t="shared" si="13"/>
        <v>174125.16436461385</v>
      </c>
      <c r="AD54" s="46"/>
      <c r="AE54" s="40">
        <f t="shared" si="14"/>
        <v>0</v>
      </c>
      <c r="AF54" s="53">
        <f t="shared" si="15"/>
        <v>0</v>
      </c>
      <c r="AG54" s="55">
        <f t="shared" si="16"/>
        <v>23.176059376930102</v>
      </c>
      <c r="AH54" s="40">
        <v>133.1</v>
      </c>
      <c r="AI54" s="40">
        <v>219.30121456500484</v>
      </c>
      <c r="AJ54" s="40">
        <v>794</v>
      </c>
      <c r="AK54" s="40">
        <v>600</v>
      </c>
      <c r="AL54" s="55">
        <f t="shared" si="17"/>
        <v>104.4750986187683</v>
      </c>
      <c r="AM54" s="55">
        <f t="shared" si="18"/>
        <v>94.027588756891475</v>
      </c>
      <c r="AN54" s="49">
        <v>131580.72873900289</v>
      </c>
      <c r="AO54" s="57">
        <f t="shared" si="19"/>
        <v>29188.991658602143</v>
      </c>
      <c r="AP54" s="60">
        <f t="shared" si="20"/>
        <v>1</v>
      </c>
      <c r="AQ54" s="61">
        <f t="shared" si="21"/>
        <v>4.5078888054094666</v>
      </c>
    </row>
    <row r="55" spans="1:43">
      <c r="A55" s="22" t="s">
        <v>441</v>
      </c>
      <c r="B55" s="22" t="s">
        <v>679</v>
      </c>
      <c r="C55" s="24" t="s">
        <v>419</v>
      </c>
      <c r="D55" s="25">
        <v>0</v>
      </c>
      <c r="E55" s="26" t="s">
        <v>770</v>
      </c>
      <c r="F55" s="20"/>
      <c r="G55" s="27" t="s">
        <v>784</v>
      </c>
      <c r="H55" s="20"/>
      <c r="I55" s="20"/>
      <c r="J55" s="28">
        <v>142</v>
      </c>
      <c r="K55" s="29" t="s">
        <v>22</v>
      </c>
      <c r="L55" s="29" t="s">
        <v>30</v>
      </c>
      <c r="M55" s="28" t="s">
        <v>588</v>
      </c>
      <c r="N55" s="29" t="s">
        <v>34</v>
      </c>
      <c r="O55" s="29" t="s">
        <v>790</v>
      </c>
      <c r="P55" s="37">
        <v>0</v>
      </c>
      <c r="Q55" s="30" t="s">
        <v>25</v>
      </c>
      <c r="R55" s="30" t="s">
        <v>26</v>
      </c>
      <c r="S55" s="28">
        <v>2030</v>
      </c>
      <c r="T55" s="32">
        <v>47848</v>
      </c>
      <c r="U55" s="31">
        <v>0.9</v>
      </c>
      <c r="V55" s="31"/>
      <c r="W55" s="36">
        <f t="shared" si="12"/>
        <v>0.9</v>
      </c>
      <c r="X55" s="31"/>
      <c r="Y55" s="31"/>
      <c r="Z55" s="31"/>
      <c r="AA55" s="52">
        <v>0.19800000000000001</v>
      </c>
      <c r="AB55" s="31">
        <v>9.9999999999999978E-2</v>
      </c>
      <c r="AC55" s="50">
        <f t="shared" si="13"/>
        <v>183116.51416177908</v>
      </c>
      <c r="AD55" s="32"/>
      <c r="AE55" s="20">
        <f t="shared" si="14"/>
        <v>0</v>
      </c>
      <c r="AF55" s="52">
        <f t="shared" si="15"/>
        <v>0</v>
      </c>
      <c r="AG55" s="54">
        <f t="shared" si="16"/>
        <v>24.372808034932795</v>
      </c>
      <c r="AH55" s="20">
        <v>133.1</v>
      </c>
      <c r="AI55" s="20">
        <v>219.3012145650049</v>
      </c>
      <c r="AJ55" s="20">
        <v>835</v>
      </c>
      <c r="AK55" s="20">
        <v>600.00000000000011</v>
      </c>
      <c r="AL55" s="54">
        <f t="shared" si="17"/>
        <v>109.86990849706748</v>
      </c>
      <c r="AM55" s="54">
        <f t="shared" si="18"/>
        <v>98.882917647360742</v>
      </c>
      <c r="AN55" s="33">
        <v>131580.72873900295</v>
      </c>
      <c r="AO55" s="56">
        <f t="shared" si="19"/>
        <v>29188.99165860215</v>
      </c>
      <c r="AP55" s="58">
        <f t="shared" si="20"/>
        <v>1</v>
      </c>
      <c r="AQ55" s="59">
        <f t="shared" si="21"/>
        <v>4.5078888054094683</v>
      </c>
    </row>
    <row r="56" spans="1:43">
      <c r="A56" s="22" t="s">
        <v>441</v>
      </c>
      <c r="B56" s="22" t="s">
        <v>680</v>
      </c>
      <c r="C56" s="24" t="s">
        <v>419</v>
      </c>
      <c r="D56" s="38">
        <v>0</v>
      </c>
      <c r="E56" s="39" t="s">
        <v>770</v>
      </c>
      <c r="F56" s="40"/>
      <c r="G56" s="41" t="s">
        <v>784</v>
      </c>
      <c r="H56" s="40"/>
      <c r="I56" s="40"/>
      <c r="J56" s="42">
        <v>143</v>
      </c>
      <c r="K56" s="43" t="s">
        <v>22</v>
      </c>
      <c r="L56" s="43" t="s">
        <v>30</v>
      </c>
      <c r="M56" s="42" t="s">
        <v>588</v>
      </c>
      <c r="N56" s="43" t="s">
        <v>35</v>
      </c>
      <c r="O56" s="43" t="s">
        <v>790</v>
      </c>
      <c r="P56" s="44">
        <v>0</v>
      </c>
      <c r="Q56" s="45" t="s">
        <v>25</v>
      </c>
      <c r="R56" s="45" t="s">
        <v>26</v>
      </c>
      <c r="S56" s="42">
        <v>2031</v>
      </c>
      <c r="T56" s="46">
        <v>48213</v>
      </c>
      <c r="U56" s="47">
        <v>0.9</v>
      </c>
      <c r="V56" s="47"/>
      <c r="W56" s="48">
        <f t="shared" si="12"/>
        <v>0.9</v>
      </c>
      <c r="X56" s="47"/>
      <c r="Y56" s="47"/>
      <c r="Z56" s="47"/>
      <c r="AA56" s="53">
        <v>0.19800000000000001</v>
      </c>
      <c r="AB56" s="47">
        <v>9.9999999999999978E-2</v>
      </c>
      <c r="AC56" s="51">
        <f t="shared" si="13"/>
        <v>183116.51416177908</v>
      </c>
      <c r="AD56" s="46"/>
      <c r="AE56" s="40">
        <f t="shared" si="14"/>
        <v>0</v>
      </c>
      <c r="AF56" s="53">
        <f t="shared" si="15"/>
        <v>0</v>
      </c>
      <c r="AG56" s="55">
        <f t="shared" si="16"/>
        <v>24.372808034932795</v>
      </c>
      <c r="AH56" s="40">
        <v>133.1</v>
      </c>
      <c r="AI56" s="40">
        <v>219.3012145650049</v>
      </c>
      <c r="AJ56" s="40">
        <v>835</v>
      </c>
      <c r="AK56" s="40">
        <v>600.00000000000011</v>
      </c>
      <c r="AL56" s="55">
        <f t="shared" si="17"/>
        <v>109.86990849706748</v>
      </c>
      <c r="AM56" s="55">
        <f t="shared" si="18"/>
        <v>98.882917647360742</v>
      </c>
      <c r="AN56" s="49">
        <v>131580.72873900295</v>
      </c>
      <c r="AO56" s="57">
        <f t="shared" si="19"/>
        <v>29188.99165860215</v>
      </c>
      <c r="AP56" s="60">
        <f t="shared" si="20"/>
        <v>1</v>
      </c>
      <c r="AQ56" s="61">
        <f t="shared" si="21"/>
        <v>4.5078888054094683</v>
      </c>
    </row>
    <row r="57" spans="1:43">
      <c r="A57" s="22" t="s">
        <v>441</v>
      </c>
      <c r="B57" s="22" t="s">
        <v>681</v>
      </c>
      <c r="C57" s="24" t="s">
        <v>419</v>
      </c>
      <c r="D57" s="25">
        <v>0</v>
      </c>
      <c r="E57" s="26" t="s">
        <v>770</v>
      </c>
      <c r="F57" s="20"/>
      <c r="G57" s="27" t="s">
        <v>784</v>
      </c>
      <c r="H57" s="20"/>
      <c r="I57" s="20"/>
      <c r="J57" s="28">
        <v>144</v>
      </c>
      <c r="K57" s="29" t="s">
        <v>22</v>
      </c>
      <c r="L57" s="29" t="s">
        <v>30</v>
      </c>
      <c r="M57" s="28" t="s">
        <v>588</v>
      </c>
      <c r="N57" s="29" t="s">
        <v>36</v>
      </c>
      <c r="O57" s="29" t="s">
        <v>790</v>
      </c>
      <c r="P57" s="37">
        <v>0</v>
      </c>
      <c r="Q57" s="30" t="s">
        <v>25</v>
      </c>
      <c r="R57" s="30" t="s">
        <v>26</v>
      </c>
      <c r="S57" s="28">
        <v>2032</v>
      </c>
      <c r="T57" s="32">
        <v>48579</v>
      </c>
      <c r="U57" s="31">
        <v>0.9</v>
      </c>
      <c r="V57" s="31"/>
      <c r="W57" s="36">
        <f t="shared" si="12"/>
        <v>0.9</v>
      </c>
      <c r="X57" s="31"/>
      <c r="Y57" s="31"/>
      <c r="Z57" s="31"/>
      <c r="AA57" s="52">
        <v>0.19800000000000001</v>
      </c>
      <c r="AB57" s="31">
        <v>9.9999999999999978E-2</v>
      </c>
      <c r="AC57" s="50">
        <f t="shared" si="13"/>
        <v>183116.51416177908</v>
      </c>
      <c r="AD57" s="32"/>
      <c r="AE57" s="20">
        <f t="shared" si="14"/>
        <v>0</v>
      </c>
      <c r="AF57" s="52">
        <f t="shared" si="15"/>
        <v>0</v>
      </c>
      <c r="AG57" s="54">
        <f t="shared" si="16"/>
        <v>24.372808034932795</v>
      </c>
      <c r="AH57" s="20">
        <v>133.1</v>
      </c>
      <c r="AI57" s="20">
        <v>219.3012145650049</v>
      </c>
      <c r="AJ57" s="20">
        <v>835</v>
      </c>
      <c r="AK57" s="20">
        <v>600.00000000000011</v>
      </c>
      <c r="AL57" s="54">
        <f t="shared" si="17"/>
        <v>109.86990849706748</v>
      </c>
      <c r="AM57" s="54">
        <f t="shared" si="18"/>
        <v>98.882917647360742</v>
      </c>
      <c r="AN57" s="33">
        <v>131580.72873900295</v>
      </c>
      <c r="AO57" s="56">
        <f t="shared" si="19"/>
        <v>29188.99165860215</v>
      </c>
      <c r="AP57" s="58">
        <f t="shared" si="20"/>
        <v>1</v>
      </c>
      <c r="AQ57" s="59">
        <f t="shared" si="21"/>
        <v>4.5078888054094683</v>
      </c>
    </row>
    <row r="58" spans="1:43">
      <c r="A58" s="22" t="s">
        <v>541</v>
      </c>
      <c r="B58" s="22" t="s">
        <v>327</v>
      </c>
      <c r="C58" s="24" t="s">
        <v>350</v>
      </c>
      <c r="D58" s="38">
        <v>1</v>
      </c>
      <c r="E58" s="39" t="s">
        <v>770</v>
      </c>
      <c r="F58" s="40"/>
      <c r="G58" s="41">
        <v>2773</v>
      </c>
      <c r="H58" s="40"/>
      <c r="I58" s="40"/>
      <c r="J58" s="42">
        <v>357</v>
      </c>
      <c r="K58" s="43" t="s">
        <v>22</v>
      </c>
      <c r="L58" s="43" t="s">
        <v>194</v>
      </c>
      <c r="M58" s="42" t="s">
        <v>588</v>
      </c>
      <c r="N58" s="43" t="s">
        <v>195</v>
      </c>
      <c r="O58" s="43" t="s">
        <v>790</v>
      </c>
      <c r="P58" s="44">
        <v>0</v>
      </c>
      <c r="Q58" s="45" t="s">
        <v>78</v>
      </c>
      <c r="R58" s="45" t="s">
        <v>26</v>
      </c>
      <c r="S58" s="42">
        <v>2026</v>
      </c>
      <c r="T58" s="46">
        <v>46203</v>
      </c>
      <c r="U58" s="47">
        <v>1</v>
      </c>
      <c r="V58" s="47"/>
      <c r="W58" s="48">
        <f t="shared" si="12"/>
        <v>1</v>
      </c>
      <c r="X58" s="47"/>
      <c r="Y58" s="47"/>
      <c r="Z58" s="47"/>
      <c r="AA58" s="53">
        <v>0.19800000000000001</v>
      </c>
      <c r="AB58" s="47"/>
      <c r="AC58" s="51">
        <f t="shared" si="13"/>
        <v>75000</v>
      </c>
      <c r="AD58" s="46"/>
      <c r="AE58" s="40">
        <f t="shared" si="14"/>
        <v>0</v>
      </c>
      <c r="AF58" s="53">
        <f t="shared" si="15"/>
        <v>0</v>
      </c>
      <c r="AG58" s="55">
        <f t="shared" si="16"/>
        <v>19.5</v>
      </c>
      <c r="AH58" s="40">
        <v>260</v>
      </c>
      <c r="AI58" s="40">
        <v>300</v>
      </c>
      <c r="AJ58" s="40">
        <v>250</v>
      </c>
      <c r="AK58" s="40">
        <v>700</v>
      </c>
      <c r="AL58" s="55">
        <f t="shared" si="17"/>
        <v>52.5</v>
      </c>
      <c r="AM58" s="55">
        <f t="shared" si="18"/>
        <v>52.5</v>
      </c>
      <c r="AN58" s="49">
        <v>210000</v>
      </c>
      <c r="AO58" s="57">
        <f t="shared" si="19"/>
        <v>78000</v>
      </c>
      <c r="AP58" s="60">
        <f t="shared" si="20"/>
        <v>1</v>
      </c>
      <c r="AQ58" s="61">
        <f t="shared" si="21"/>
        <v>2.6923076923076925</v>
      </c>
    </row>
    <row r="59" spans="1:43">
      <c r="A59" s="22" t="s">
        <v>533</v>
      </c>
      <c r="B59" s="22" t="s">
        <v>317</v>
      </c>
      <c r="C59" s="24" t="s">
        <v>357</v>
      </c>
      <c r="D59" s="25">
        <v>1</v>
      </c>
      <c r="E59" s="26" t="s">
        <v>770</v>
      </c>
      <c r="F59" s="20"/>
      <c r="G59" s="27">
        <v>1930</v>
      </c>
      <c r="H59" s="20"/>
      <c r="I59" s="20"/>
      <c r="J59" s="28">
        <v>346</v>
      </c>
      <c r="K59" s="29" t="s">
        <v>172</v>
      </c>
      <c r="L59" s="29" t="s">
        <v>181</v>
      </c>
      <c r="M59" s="28" t="s">
        <v>598</v>
      </c>
      <c r="N59" s="29" t="s">
        <v>97</v>
      </c>
      <c r="O59" s="29" t="s">
        <v>790</v>
      </c>
      <c r="P59" s="37">
        <v>0</v>
      </c>
      <c r="Q59" s="30" t="s">
        <v>78</v>
      </c>
      <c r="R59" s="30" t="s">
        <v>26</v>
      </c>
      <c r="S59" s="28">
        <v>2030</v>
      </c>
      <c r="T59" s="32">
        <v>47664</v>
      </c>
      <c r="U59" s="31">
        <v>0.7</v>
      </c>
      <c r="V59" s="31">
        <v>0.30000000000000004</v>
      </c>
      <c r="W59" s="36">
        <f t="shared" si="12"/>
        <v>1</v>
      </c>
      <c r="X59" s="31">
        <v>0.05</v>
      </c>
      <c r="Y59" s="31">
        <v>9.0000000000000011E-2</v>
      </c>
      <c r="Z59" s="31">
        <v>6.8000000000000005E-2</v>
      </c>
      <c r="AA59" s="52">
        <v>0.19800000000000001</v>
      </c>
      <c r="AB59" s="31"/>
      <c r="AC59" s="50">
        <f t="shared" si="13"/>
        <v>139700</v>
      </c>
      <c r="AD59" s="32"/>
      <c r="AE59" s="20">
        <f t="shared" si="14"/>
        <v>0</v>
      </c>
      <c r="AF59" s="52">
        <f t="shared" si="15"/>
        <v>0</v>
      </c>
      <c r="AG59" s="54">
        <f t="shared" si="16"/>
        <v>36.322000000000003</v>
      </c>
      <c r="AH59" s="20">
        <v>260</v>
      </c>
      <c r="AI59" s="20">
        <v>220</v>
      </c>
      <c r="AJ59" s="20">
        <v>635</v>
      </c>
      <c r="AK59" s="20">
        <v>1200</v>
      </c>
      <c r="AL59" s="54">
        <f t="shared" si="17"/>
        <v>167.64</v>
      </c>
      <c r="AM59" s="54">
        <f t="shared" si="18"/>
        <v>117.34799999999998</v>
      </c>
      <c r="AN59" s="33">
        <v>264000</v>
      </c>
      <c r="AO59" s="56">
        <f t="shared" si="19"/>
        <v>57200</v>
      </c>
      <c r="AP59" s="58">
        <f t="shared" si="20"/>
        <v>0.7</v>
      </c>
      <c r="AQ59" s="59">
        <f t="shared" si="21"/>
        <v>3.2307692307692299</v>
      </c>
    </row>
    <row r="60" spans="1:43">
      <c r="A60" s="22" t="s">
        <v>526</v>
      </c>
      <c r="B60" s="22" t="s">
        <v>297</v>
      </c>
      <c r="C60" s="24" t="s">
        <v>360</v>
      </c>
      <c r="D60" s="38">
        <v>1</v>
      </c>
      <c r="E60" s="39" t="s">
        <v>770</v>
      </c>
      <c r="F60" s="40"/>
      <c r="G60" s="41">
        <v>2106</v>
      </c>
      <c r="H60" s="40"/>
      <c r="I60" s="40"/>
      <c r="J60" s="42">
        <v>326</v>
      </c>
      <c r="K60" s="43" t="s">
        <v>172</v>
      </c>
      <c r="L60" s="43" t="s">
        <v>173</v>
      </c>
      <c r="M60" s="42" t="s">
        <v>597</v>
      </c>
      <c r="N60" s="43" t="s">
        <v>48</v>
      </c>
      <c r="O60" s="43" t="s">
        <v>786</v>
      </c>
      <c r="P60" s="44">
        <v>1436252.3</v>
      </c>
      <c r="Q60" s="45" t="s">
        <v>25</v>
      </c>
      <c r="R60" s="45" t="s">
        <v>789</v>
      </c>
      <c r="S60" s="42">
        <v>2029</v>
      </c>
      <c r="T60" s="46">
        <v>47483</v>
      </c>
      <c r="U60" s="47">
        <v>0.7</v>
      </c>
      <c r="V60" s="47">
        <v>0.30000000000000004</v>
      </c>
      <c r="W60" s="48">
        <f t="shared" si="12"/>
        <v>1</v>
      </c>
      <c r="X60" s="47">
        <v>0.05</v>
      </c>
      <c r="Y60" s="47">
        <v>9.0000000000000011E-2</v>
      </c>
      <c r="Z60" s="47">
        <v>6.8000000000000005E-2</v>
      </c>
      <c r="AA60" s="53">
        <v>0.19800000000000001</v>
      </c>
      <c r="AB60" s="47"/>
      <c r="AC60" s="51">
        <f t="shared" si="13"/>
        <v>248211</v>
      </c>
      <c r="AD60" s="46"/>
      <c r="AE60" s="40">
        <f t="shared" si="14"/>
        <v>1.4362523</v>
      </c>
      <c r="AF60" s="53">
        <f t="shared" si="15"/>
        <v>1.1572833597221718E-2</v>
      </c>
      <c r="AG60" s="55">
        <f t="shared" si="16"/>
        <v>39.713760000000001</v>
      </c>
      <c r="AH60" s="40">
        <v>160</v>
      </c>
      <c r="AI60" s="40">
        <v>261</v>
      </c>
      <c r="AJ60" s="40">
        <v>951</v>
      </c>
      <c r="AK60" s="40">
        <v>500</v>
      </c>
      <c r="AL60" s="55">
        <f t="shared" si="17"/>
        <v>124.10550000000001</v>
      </c>
      <c r="AM60" s="55">
        <f t="shared" si="18"/>
        <v>86.873850000000004</v>
      </c>
      <c r="AN60" s="49">
        <v>110000</v>
      </c>
      <c r="AO60" s="57">
        <f t="shared" si="19"/>
        <v>41760</v>
      </c>
      <c r="AP60" s="60">
        <f t="shared" si="20"/>
        <v>0.7</v>
      </c>
      <c r="AQ60" s="61">
        <f t="shared" si="21"/>
        <v>2.1111500372504142</v>
      </c>
    </row>
    <row r="61" spans="1:43">
      <c r="A61" s="22" t="s">
        <v>526</v>
      </c>
      <c r="B61" s="22" t="s">
        <v>298</v>
      </c>
      <c r="C61" s="24" t="s">
        <v>360</v>
      </c>
      <c r="D61" s="25">
        <v>1</v>
      </c>
      <c r="E61" s="26" t="s">
        <v>770</v>
      </c>
      <c r="F61" s="20"/>
      <c r="G61" s="27">
        <v>2106</v>
      </c>
      <c r="H61" s="20"/>
      <c r="I61" s="20"/>
      <c r="J61" s="28">
        <v>327</v>
      </c>
      <c r="K61" s="29" t="s">
        <v>172</v>
      </c>
      <c r="L61" s="29" t="s">
        <v>173</v>
      </c>
      <c r="M61" s="28" t="s">
        <v>597</v>
      </c>
      <c r="N61" s="29" t="s">
        <v>174</v>
      </c>
      <c r="O61" s="29" t="s">
        <v>786</v>
      </c>
      <c r="P61" s="37">
        <v>1436252.3</v>
      </c>
      <c r="Q61" s="30" t="s">
        <v>25</v>
      </c>
      <c r="R61" s="30" t="s">
        <v>789</v>
      </c>
      <c r="S61" s="28">
        <v>2031</v>
      </c>
      <c r="T61" s="32">
        <v>48029</v>
      </c>
      <c r="U61" s="31">
        <v>0.7</v>
      </c>
      <c r="V61" s="31">
        <v>0.30000000000000004</v>
      </c>
      <c r="W61" s="36">
        <f t="shared" si="12"/>
        <v>1</v>
      </c>
      <c r="X61" s="31">
        <v>0.05</v>
      </c>
      <c r="Y61" s="31">
        <v>9.0000000000000011E-2</v>
      </c>
      <c r="Z61" s="31">
        <v>6.8000000000000005E-2</v>
      </c>
      <c r="AA61" s="52">
        <v>0.19800000000000001</v>
      </c>
      <c r="AB61" s="31"/>
      <c r="AC61" s="50">
        <f t="shared" si="13"/>
        <v>248211</v>
      </c>
      <c r="AD61" s="32"/>
      <c r="AE61" s="20">
        <f t="shared" si="14"/>
        <v>1.4362523</v>
      </c>
      <c r="AF61" s="52">
        <f t="shared" si="15"/>
        <v>1.1572833597221718E-2</v>
      </c>
      <c r="AG61" s="54">
        <f t="shared" si="16"/>
        <v>39.713760000000001</v>
      </c>
      <c r="AH61" s="20">
        <v>160</v>
      </c>
      <c r="AI61" s="20">
        <v>261</v>
      </c>
      <c r="AJ61" s="20">
        <v>951</v>
      </c>
      <c r="AK61" s="20">
        <v>500</v>
      </c>
      <c r="AL61" s="54">
        <f t="shared" si="17"/>
        <v>124.10550000000001</v>
      </c>
      <c r="AM61" s="54">
        <f t="shared" si="18"/>
        <v>86.873850000000004</v>
      </c>
      <c r="AN61" s="33">
        <v>110000</v>
      </c>
      <c r="AO61" s="56">
        <f t="shared" si="19"/>
        <v>41760</v>
      </c>
      <c r="AP61" s="58">
        <f t="shared" si="20"/>
        <v>0.7</v>
      </c>
      <c r="AQ61" s="59">
        <f t="shared" si="21"/>
        <v>2.1111500372504142</v>
      </c>
    </row>
    <row r="62" spans="1:43">
      <c r="A62" s="22" t="s">
        <v>527</v>
      </c>
      <c r="B62" s="22" t="s">
        <v>299</v>
      </c>
      <c r="C62" s="24" t="s">
        <v>360</v>
      </c>
      <c r="D62" s="38">
        <v>1</v>
      </c>
      <c r="E62" s="39" t="s">
        <v>770</v>
      </c>
      <c r="F62" s="40"/>
      <c r="G62" s="41">
        <v>2106</v>
      </c>
      <c r="H62" s="40"/>
      <c r="I62" s="40"/>
      <c r="J62" s="42">
        <v>328</v>
      </c>
      <c r="K62" s="43" t="s">
        <v>172</v>
      </c>
      <c r="L62" s="43" t="s">
        <v>173</v>
      </c>
      <c r="M62" s="42" t="s">
        <v>597</v>
      </c>
      <c r="N62" s="43" t="s">
        <v>50</v>
      </c>
      <c r="O62" s="43" t="s">
        <v>786</v>
      </c>
      <c r="P62" s="44">
        <v>1436252.3</v>
      </c>
      <c r="Q62" s="45" t="s">
        <v>25</v>
      </c>
      <c r="R62" s="45" t="s">
        <v>26</v>
      </c>
      <c r="S62" s="42">
        <v>2033</v>
      </c>
      <c r="T62" s="46">
        <v>48760</v>
      </c>
      <c r="U62" s="47">
        <v>0.7</v>
      </c>
      <c r="V62" s="47">
        <v>0.30000000000000004</v>
      </c>
      <c r="W62" s="48">
        <f t="shared" si="12"/>
        <v>1</v>
      </c>
      <c r="X62" s="47">
        <v>0.05</v>
      </c>
      <c r="Y62" s="47">
        <v>9.0000000000000011E-2</v>
      </c>
      <c r="Z62" s="47">
        <v>6.8000000000000005E-2</v>
      </c>
      <c r="AA62" s="53">
        <v>0.19800000000000001</v>
      </c>
      <c r="AB62" s="47"/>
      <c r="AC62" s="51">
        <f t="shared" si="13"/>
        <v>232066.42500000002</v>
      </c>
      <c r="AD62" s="46"/>
      <c r="AE62" s="40">
        <f t="shared" si="14"/>
        <v>1.4362523</v>
      </c>
      <c r="AF62" s="53">
        <f t="shared" si="15"/>
        <v>1.2377941358815689E-2</v>
      </c>
      <c r="AG62" s="55">
        <f t="shared" si="16"/>
        <v>37.130628000000009</v>
      </c>
      <c r="AH62" s="40">
        <v>160</v>
      </c>
      <c r="AI62" s="40">
        <v>270.15881839348083</v>
      </c>
      <c r="AJ62" s="40">
        <v>859</v>
      </c>
      <c r="AK62" s="40">
        <v>500.00000000000006</v>
      </c>
      <c r="AL62" s="55">
        <f t="shared" si="17"/>
        <v>116.03321250000003</v>
      </c>
      <c r="AM62" s="55">
        <f t="shared" si="18"/>
        <v>81.223248750000025</v>
      </c>
      <c r="AN62" s="49">
        <v>135079.40919674042</v>
      </c>
      <c r="AO62" s="57">
        <f t="shared" si="19"/>
        <v>43225.410942956936</v>
      </c>
      <c r="AP62" s="60">
        <f t="shared" si="20"/>
        <v>0.7</v>
      </c>
      <c r="AQ62" s="61">
        <f t="shared" si="21"/>
        <v>2.1060362704525004</v>
      </c>
    </row>
    <row r="63" spans="1:43">
      <c r="A63" s="22" t="s">
        <v>527</v>
      </c>
      <c r="B63" s="22" t="s">
        <v>300</v>
      </c>
      <c r="C63" s="24" t="s">
        <v>360</v>
      </c>
      <c r="D63" s="25">
        <v>1</v>
      </c>
      <c r="E63" s="26" t="s">
        <v>770</v>
      </c>
      <c r="F63" s="20"/>
      <c r="G63" s="27">
        <v>2106</v>
      </c>
      <c r="H63" s="20"/>
      <c r="I63" s="20"/>
      <c r="J63" s="28">
        <v>329</v>
      </c>
      <c r="K63" s="29" t="s">
        <v>172</v>
      </c>
      <c r="L63" s="29" t="s">
        <v>173</v>
      </c>
      <c r="M63" s="28" t="s">
        <v>597</v>
      </c>
      <c r="N63" s="29" t="s">
        <v>51</v>
      </c>
      <c r="O63" s="29" t="s">
        <v>786</v>
      </c>
      <c r="P63" s="37">
        <v>1436252.3</v>
      </c>
      <c r="Q63" s="30" t="s">
        <v>25</v>
      </c>
      <c r="R63" s="30" t="s">
        <v>26</v>
      </c>
      <c r="S63" s="28">
        <v>2035</v>
      </c>
      <c r="T63" s="32">
        <v>49490</v>
      </c>
      <c r="U63" s="31">
        <v>0.7</v>
      </c>
      <c r="V63" s="31">
        <v>0.30000000000000004</v>
      </c>
      <c r="W63" s="36">
        <f t="shared" si="12"/>
        <v>1</v>
      </c>
      <c r="X63" s="31">
        <v>0.05</v>
      </c>
      <c r="Y63" s="31">
        <v>9.0000000000000011E-2</v>
      </c>
      <c r="Z63" s="31">
        <v>6.8000000000000005E-2</v>
      </c>
      <c r="AA63" s="52">
        <v>0.19800000000000001</v>
      </c>
      <c r="AB63" s="31"/>
      <c r="AC63" s="50">
        <f t="shared" si="13"/>
        <v>232066.42500000002</v>
      </c>
      <c r="AD63" s="32"/>
      <c r="AE63" s="20">
        <f t="shared" si="14"/>
        <v>1.4362523</v>
      </c>
      <c r="AF63" s="52">
        <f t="shared" si="15"/>
        <v>1.2377941358815689E-2</v>
      </c>
      <c r="AG63" s="54">
        <f t="shared" si="16"/>
        <v>37.130628000000009</v>
      </c>
      <c r="AH63" s="20">
        <v>160</v>
      </c>
      <c r="AI63" s="20">
        <v>270.15881839348083</v>
      </c>
      <c r="AJ63" s="20">
        <v>859</v>
      </c>
      <c r="AK63" s="20">
        <v>500.00000000000006</v>
      </c>
      <c r="AL63" s="54">
        <f t="shared" si="17"/>
        <v>116.03321250000003</v>
      </c>
      <c r="AM63" s="54">
        <f t="shared" si="18"/>
        <v>81.223248750000025</v>
      </c>
      <c r="AN63" s="33">
        <v>135079.40919674042</v>
      </c>
      <c r="AO63" s="56">
        <f t="shared" si="19"/>
        <v>43225.410942956936</v>
      </c>
      <c r="AP63" s="58">
        <f t="shared" si="20"/>
        <v>0.7</v>
      </c>
      <c r="AQ63" s="59">
        <f t="shared" si="21"/>
        <v>2.1060362704525004</v>
      </c>
    </row>
    <row r="64" spans="1:43">
      <c r="A64" s="22" t="s">
        <v>527</v>
      </c>
      <c r="B64" s="22" t="s">
        <v>301</v>
      </c>
      <c r="C64" s="24" t="s">
        <v>360</v>
      </c>
      <c r="D64" s="38">
        <v>1</v>
      </c>
      <c r="E64" s="39" t="s">
        <v>770</v>
      </c>
      <c r="F64" s="40"/>
      <c r="G64" s="41">
        <v>2106</v>
      </c>
      <c r="H64" s="40"/>
      <c r="I64" s="40"/>
      <c r="J64" s="42">
        <v>330</v>
      </c>
      <c r="K64" s="43" t="s">
        <v>172</v>
      </c>
      <c r="L64" s="43" t="s">
        <v>173</v>
      </c>
      <c r="M64" s="42" t="s">
        <v>597</v>
      </c>
      <c r="N64" s="43" t="s">
        <v>52</v>
      </c>
      <c r="O64" s="43" t="s">
        <v>786</v>
      </c>
      <c r="P64" s="44">
        <v>1436252.3</v>
      </c>
      <c r="Q64" s="45" t="s">
        <v>25</v>
      </c>
      <c r="R64" s="45" t="s">
        <v>26</v>
      </c>
      <c r="S64" s="42">
        <v>2037</v>
      </c>
      <c r="T64" s="46">
        <v>50221</v>
      </c>
      <c r="U64" s="47">
        <v>0.7</v>
      </c>
      <c r="V64" s="47">
        <v>0.30000000000000004</v>
      </c>
      <c r="W64" s="48">
        <f t="shared" si="12"/>
        <v>1</v>
      </c>
      <c r="X64" s="47">
        <v>0.05</v>
      </c>
      <c r="Y64" s="47">
        <v>9.0000000000000011E-2</v>
      </c>
      <c r="Z64" s="47">
        <v>6.8000000000000005E-2</v>
      </c>
      <c r="AA64" s="53">
        <v>0.19800000000000001</v>
      </c>
      <c r="AB64" s="47"/>
      <c r="AC64" s="51">
        <f t="shared" si="13"/>
        <v>232066.42500000002</v>
      </c>
      <c r="AD64" s="46"/>
      <c r="AE64" s="40">
        <f t="shared" si="14"/>
        <v>1.4362523</v>
      </c>
      <c r="AF64" s="53">
        <f t="shared" si="15"/>
        <v>1.2377941358815689E-2</v>
      </c>
      <c r="AG64" s="55">
        <f t="shared" si="16"/>
        <v>37.130628000000009</v>
      </c>
      <c r="AH64" s="40">
        <v>160</v>
      </c>
      <c r="AI64" s="40">
        <v>270.15881839348083</v>
      </c>
      <c r="AJ64" s="40">
        <v>859</v>
      </c>
      <c r="AK64" s="40">
        <v>500.00000000000006</v>
      </c>
      <c r="AL64" s="55">
        <f t="shared" si="17"/>
        <v>116.03321250000003</v>
      </c>
      <c r="AM64" s="55">
        <f t="shared" si="18"/>
        <v>81.223248750000025</v>
      </c>
      <c r="AN64" s="49">
        <v>135079.40919674042</v>
      </c>
      <c r="AO64" s="57">
        <f t="shared" si="19"/>
        <v>43225.410942956936</v>
      </c>
      <c r="AP64" s="60">
        <f t="shared" si="20"/>
        <v>0.7</v>
      </c>
      <c r="AQ64" s="61">
        <f t="shared" si="21"/>
        <v>2.1060362704525004</v>
      </c>
    </row>
    <row r="65" spans="1:43">
      <c r="A65" s="22" t="s">
        <v>527</v>
      </c>
      <c r="B65" s="22" t="s">
        <v>302</v>
      </c>
      <c r="C65" s="24" t="s">
        <v>360</v>
      </c>
      <c r="D65" s="25">
        <v>1</v>
      </c>
      <c r="E65" s="26" t="s">
        <v>770</v>
      </c>
      <c r="F65" s="20"/>
      <c r="G65" s="27">
        <v>2106</v>
      </c>
      <c r="H65" s="20"/>
      <c r="I65" s="20"/>
      <c r="J65" s="28">
        <v>331</v>
      </c>
      <c r="K65" s="29" t="s">
        <v>172</v>
      </c>
      <c r="L65" s="29" t="s">
        <v>173</v>
      </c>
      <c r="M65" s="28" t="s">
        <v>597</v>
      </c>
      <c r="N65" s="29" t="s">
        <v>53</v>
      </c>
      <c r="O65" s="29" t="s">
        <v>786</v>
      </c>
      <c r="P65" s="37">
        <v>1436252.3</v>
      </c>
      <c r="Q65" s="30" t="s">
        <v>25</v>
      </c>
      <c r="R65" s="30" t="s">
        <v>26</v>
      </c>
      <c r="S65" s="28">
        <v>2039</v>
      </c>
      <c r="T65" s="32">
        <v>50951</v>
      </c>
      <c r="U65" s="31">
        <v>0.7</v>
      </c>
      <c r="V65" s="31">
        <v>0.30000000000000004</v>
      </c>
      <c r="W65" s="36">
        <f t="shared" si="12"/>
        <v>1</v>
      </c>
      <c r="X65" s="31">
        <v>0.05</v>
      </c>
      <c r="Y65" s="31">
        <v>9.0000000000000011E-2</v>
      </c>
      <c r="Z65" s="31">
        <v>6.8000000000000005E-2</v>
      </c>
      <c r="AA65" s="52">
        <v>0.19800000000000001</v>
      </c>
      <c r="AB65" s="31"/>
      <c r="AC65" s="50">
        <f t="shared" si="13"/>
        <v>232066.42500000002</v>
      </c>
      <c r="AD65" s="32"/>
      <c r="AE65" s="20">
        <f t="shared" si="14"/>
        <v>1.4362523</v>
      </c>
      <c r="AF65" s="52">
        <f t="shared" si="15"/>
        <v>1.2377941358815689E-2</v>
      </c>
      <c r="AG65" s="54">
        <f t="shared" si="16"/>
        <v>37.130628000000009</v>
      </c>
      <c r="AH65" s="20">
        <v>160</v>
      </c>
      <c r="AI65" s="20">
        <v>270.15881839348083</v>
      </c>
      <c r="AJ65" s="20">
        <v>859</v>
      </c>
      <c r="AK65" s="20">
        <v>500.00000000000006</v>
      </c>
      <c r="AL65" s="54">
        <f t="shared" si="17"/>
        <v>116.03321250000003</v>
      </c>
      <c r="AM65" s="54">
        <f t="shared" si="18"/>
        <v>81.223248750000025</v>
      </c>
      <c r="AN65" s="33">
        <v>135079.40919674042</v>
      </c>
      <c r="AO65" s="56">
        <f t="shared" si="19"/>
        <v>43225.410942956936</v>
      </c>
      <c r="AP65" s="58">
        <f t="shared" si="20"/>
        <v>0.7</v>
      </c>
      <c r="AQ65" s="59">
        <f t="shared" si="21"/>
        <v>2.1060362704525004</v>
      </c>
    </row>
    <row r="66" spans="1:43">
      <c r="A66" s="22" t="s">
        <v>527</v>
      </c>
      <c r="B66" s="22" t="s">
        <v>303</v>
      </c>
      <c r="C66" s="24" t="s">
        <v>360</v>
      </c>
      <c r="D66" s="38">
        <v>1</v>
      </c>
      <c r="E66" s="39" t="s">
        <v>770</v>
      </c>
      <c r="F66" s="40"/>
      <c r="G66" s="41">
        <v>2106</v>
      </c>
      <c r="H66" s="40"/>
      <c r="I66" s="40"/>
      <c r="J66" s="42">
        <v>332</v>
      </c>
      <c r="K66" s="43" t="s">
        <v>172</v>
      </c>
      <c r="L66" s="43" t="s">
        <v>173</v>
      </c>
      <c r="M66" s="42" t="s">
        <v>597</v>
      </c>
      <c r="N66" s="43" t="s">
        <v>54</v>
      </c>
      <c r="O66" s="43" t="s">
        <v>786</v>
      </c>
      <c r="P66" s="44">
        <v>1436252.3</v>
      </c>
      <c r="Q66" s="45" t="s">
        <v>25</v>
      </c>
      <c r="R66" s="45" t="s">
        <v>26</v>
      </c>
      <c r="S66" s="42">
        <v>2041</v>
      </c>
      <c r="T66" s="46">
        <v>51682</v>
      </c>
      <c r="U66" s="47">
        <v>0.7</v>
      </c>
      <c r="V66" s="47">
        <v>0.30000000000000004</v>
      </c>
      <c r="W66" s="48">
        <f t="shared" si="12"/>
        <v>1</v>
      </c>
      <c r="X66" s="47">
        <v>0.05</v>
      </c>
      <c r="Y66" s="47">
        <v>9.0000000000000011E-2</v>
      </c>
      <c r="Z66" s="47">
        <v>6.8000000000000005E-2</v>
      </c>
      <c r="AA66" s="53">
        <v>0.19800000000000001</v>
      </c>
      <c r="AB66" s="47"/>
      <c r="AC66" s="51">
        <f t="shared" si="13"/>
        <v>232066.42500000002</v>
      </c>
      <c r="AD66" s="46"/>
      <c r="AE66" s="40">
        <f t="shared" si="14"/>
        <v>1.4362523</v>
      </c>
      <c r="AF66" s="53">
        <f t="shared" si="15"/>
        <v>1.2377941358815689E-2</v>
      </c>
      <c r="AG66" s="55">
        <f t="shared" si="16"/>
        <v>37.130628000000009</v>
      </c>
      <c r="AH66" s="40">
        <v>160</v>
      </c>
      <c r="AI66" s="40">
        <v>270.15881839348083</v>
      </c>
      <c r="AJ66" s="40">
        <v>859</v>
      </c>
      <c r="AK66" s="40">
        <v>500.00000000000006</v>
      </c>
      <c r="AL66" s="55">
        <f t="shared" si="17"/>
        <v>116.03321250000003</v>
      </c>
      <c r="AM66" s="55">
        <f t="shared" si="18"/>
        <v>81.223248750000025</v>
      </c>
      <c r="AN66" s="49">
        <v>135079.40919674042</v>
      </c>
      <c r="AO66" s="57">
        <f t="shared" si="19"/>
        <v>43225.410942956936</v>
      </c>
      <c r="AP66" s="60">
        <f t="shared" si="20"/>
        <v>0.7</v>
      </c>
      <c r="AQ66" s="61">
        <f t="shared" si="21"/>
        <v>2.1060362704525004</v>
      </c>
    </row>
    <row r="67" spans="1:43">
      <c r="A67" s="22" t="s">
        <v>527</v>
      </c>
      <c r="B67" s="22" t="s">
        <v>304</v>
      </c>
      <c r="C67" s="24" t="s">
        <v>360</v>
      </c>
      <c r="D67" s="25">
        <v>1</v>
      </c>
      <c r="E67" s="26" t="s">
        <v>770</v>
      </c>
      <c r="F67" s="20"/>
      <c r="G67" s="27">
        <v>2106</v>
      </c>
      <c r="H67" s="20"/>
      <c r="I67" s="20"/>
      <c r="J67" s="28">
        <v>333</v>
      </c>
      <c r="K67" s="29" t="s">
        <v>172</v>
      </c>
      <c r="L67" s="29" t="s">
        <v>173</v>
      </c>
      <c r="M67" s="28" t="s">
        <v>597</v>
      </c>
      <c r="N67" s="29" t="s">
        <v>175</v>
      </c>
      <c r="O67" s="29" t="s">
        <v>786</v>
      </c>
      <c r="P67" s="37">
        <v>1436252.3</v>
      </c>
      <c r="Q67" s="30" t="s">
        <v>25</v>
      </c>
      <c r="R67" s="30" t="s">
        <v>26</v>
      </c>
      <c r="S67" s="28">
        <v>2043</v>
      </c>
      <c r="T67" s="32">
        <v>52412</v>
      </c>
      <c r="U67" s="31">
        <v>0.7</v>
      </c>
      <c r="V67" s="31">
        <v>0.30000000000000004</v>
      </c>
      <c r="W67" s="36">
        <f t="shared" si="12"/>
        <v>1</v>
      </c>
      <c r="X67" s="31">
        <v>0.05</v>
      </c>
      <c r="Y67" s="31">
        <v>9.0000000000000011E-2</v>
      </c>
      <c r="Z67" s="31">
        <v>6.8000000000000005E-2</v>
      </c>
      <c r="AA67" s="52">
        <v>0.19800000000000001</v>
      </c>
      <c r="AB67" s="31"/>
      <c r="AC67" s="50">
        <f t="shared" si="13"/>
        <v>232066.42500000002</v>
      </c>
      <c r="AD67" s="32"/>
      <c r="AE67" s="20">
        <f t="shared" si="14"/>
        <v>1.4362523</v>
      </c>
      <c r="AF67" s="52">
        <f t="shared" si="15"/>
        <v>1.2377941358815689E-2</v>
      </c>
      <c r="AG67" s="54">
        <f t="shared" si="16"/>
        <v>37.130628000000009</v>
      </c>
      <c r="AH67" s="20">
        <v>160</v>
      </c>
      <c r="AI67" s="20">
        <v>270.15881839348083</v>
      </c>
      <c r="AJ67" s="20">
        <v>859</v>
      </c>
      <c r="AK67" s="20">
        <v>500.00000000000006</v>
      </c>
      <c r="AL67" s="54">
        <f t="shared" si="17"/>
        <v>116.03321250000003</v>
      </c>
      <c r="AM67" s="54">
        <f t="shared" si="18"/>
        <v>81.223248750000025</v>
      </c>
      <c r="AN67" s="33">
        <v>135079.40919674042</v>
      </c>
      <c r="AO67" s="56">
        <f t="shared" si="19"/>
        <v>43225.410942956936</v>
      </c>
      <c r="AP67" s="58">
        <f t="shared" si="20"/>
        <v>0.7</v>
      </c>
      <c r="AQ67" s="59">
        <f t="shared" si="21"/>
        <v>2.1060362704525004</v>
      </c>
    </row>
    <row r="68" spans="1:43">
      <c r="A68" s="22" t="s">
        <v>527</v>
      </c>
      <c r="B68" s="22" t="s">
        <v>305</v>
      </c>
      <c r="C68" s="24" t="s">
        <v>360</v>
      </c>
      <c r="D68" s="38">
        <v>1</v>
      </c>
      <c r="E68" s="39" t="s">
        <v>770</v>
      </c>
      <c r="F68" s="40"/>
      <c r="G68" s="41">
        <v>2106</v>
      </c>
      <c r="H68" s="40"/>
      <c r="I68" s="40"/>
      <c r="J68" s="42">
        <v>334</v>
      </c>
      <c r="K68" s="43" t="s">
        <v>172</v>
      </c>
      <c r="L68" s="43" t="s">
        <v>173</v>
      </c>
      <c r="M68" s="42" t="s">
        <v>597</v>
      </c>
      <c r="N68" s="43" t="s">
        <v>176</v>
      </c>
      <c r="O68" s="43" t="s">
        <v>786</v>
      </c>
      <c r="P68" s="44">
        <v>1436252.3</v>
      </c>
      <c r="Q68" s="45" t="s">
        <v>25</v>
      </c>
      <c r="R68" s="45" t="s">
        <v>26</v>
      </c>
      <c r="S68" s="42">
        <v>2045</v>
      </c>
      <c r="T68" s="46">
        <v>53143</v>
      </c>
      <c r="U68" s="47">
        <v>0.7</v>
      </c>
      <c r="V68" s="47">
        <v>0.30000000000000004</v>
      </c>
      <c r="W68" s="48">
        <f t="shared" si="12"/>
        <v>1</v>
      </c>
      <c r="X68" s="47">
        <v>0.05</v>
      </c>
      <c r="Y68" s="47">
        <v>9.0000000000000011E-2</v>
      </c>
      <c r="Z68" s="47">
        <v>6.8000000000000005E-2</v>
      </c>
      <c r="AA68" s="53">
        <v>0.19800000000000001</v>
      </c>
      <c r="AB68" s="47"/>
      <c r="AC68" s="51">
        <f t="shared" si="13"/>
        <v>232066.42500000002</v>
      </c>
      <c r="AD68" s="46"/>
      <c r="AE68" s="40">
        <f t="shared" si="14"/>
        <v>1.4362523</v>
      </c>
      <c r="AF68" s="53">
        <f t="shared" si="15"/>
        <v>1.2377941358815689E-2</v>
      </c>
      <c r="AG68" s="55">
        <f t="shared" si="16"/>
        <v>37.130628000000009</v>
      </c>
      <c r="AH68" s="40">
        <v>160</v>
      </c>
      <c r="AI68" s="40">
        <v>270.15881839348083</v>
      </c>
      <c r="AJ68" s="40">
        <v>859</v>
      </c>
      <c r="AK68" s="40">
        <v>500.00000000000006</v>
      </c>
      <c r="AL68" s="55">
        <f t="shared" si="17"/>
        <v>116.03321250000003</v>
      </c>
      <c r="AM68" s="55">
        <f t="shared" si="18"/>
        <v>81.223248750000025</v>
      </c>
      <c r="AN68" s="49">
        <v>135079.40919674042</v>
      </c>
      <c r="AO68" s="57">
        <f t="shared" si="19"/>
        <v>43225.410942956936</v>
      </c>
      <c r="AP68" s="60">
        <f t="shared" si="20"/>
        <v>0.7</v>
      </c>
      <c r="AQ68" s="61">
        <f t="shared" si="21"/>
        <v>2.1060362704525004</v>
      </c>
    </row>
    <row r="69" spans="1:43">
      <c r="A69" s="22" t="s">
        <v>527</v>
      </c>
      <c r="B69" s="22" t="s">
        <v>306</v>
      </c>
      <c r="C69" s="24" t="s">
        <v>360</v>
      </c>
      <c r="D69" s="25">
        <v>1</v>
      </c>
      <c r="E69" s="26" t="s">
        <v>770</v>
      </c>
      <c r="F69" s="20"/>
      <c r="G69" s="27">
        <v>2106</v>
      </c>
      <c r="H69" s="20"/>
      <c r="I69" s="20"/>
      <c r="J69" s="28">
        <v>335</v>
      </c>
      <c r="K69" s="29" t="s">
        <v>172</v>
      </c>
      <c r="L69" s="29" t="s">
        <v>173</v>
      </c>
      <c r="M69" s="28" t="s">
        <v>597</v>
      </c>
      <c r="N69" s="29" t="s">
        <v>177</v>
      </c>
      <c r="O69" s="29" t="s">
        <v>786</v>
      </c>
      <c r="P69" s="37">
        <v>1436252.3</v>
      </c>
      <c r="Q69" s="30" t="s">
        <v>25</v>
      </c>
      <c r="R69" s="30" t="s">
        <v>26</v>
      </c>
      <c r="S69" s="28">
        <v>2047</v>
      </c>
      <c r="T69" s="32">
        <v>53873</v>
      </c>
      <c r="U69" s="31">
        <v>0.7</v>
      </c>
      <c r="V69" s="31">
        <v>0.30000000000000004</v>
      </c>
      <c r="W69" s="36">
        <f t="shared" si="12"/>
        <v>1</v>
      </c>
      <c r="X69" s="31">
        <v>0.05</v>
      </c>
      <c r="Y69" s="31">
        <v>9.0000000000000011E-2</v>
      </c>
      <c r="Z69" s="31">
        <v>6.8000000000000005E-2</v>
      </c>
      <c r="AA69" s="52">
        <v>0.19800000000000001</v>
      </c>
      <c r="AB69" s="31"/>
      <c r="AC69" s="50">
        <f t="shared" si="13"/>
        <v>232066.42500000002</v>
      </c>
      <c r="AD69" s="32"/>
      <c r="AE69" s="20">
        <f t="shared" si="14"/>
        <v>1.4362523</v>
      </c>
      <c r="AF69" s="52">
        <f t="shared" si="15"/>
        <v>1.2377941358815689E-2</v>
      </c>
      <c r="AG69" s="54">
        <f t="shared" si="16"/>
        <v>37.130628000000009</v>
      </c>
      <c r="AH69" s="20">
        <v>160</v>
      </c>
      <c r="AI69" s="20">
        <v>270.15881839348083</v>
      </c>
      <c r="AJ69" s="20">
        <v>859</v>
      </c>
      <c r="AK69" s="20">
        <v>500.00000000000006</v>
      </c>
      <c r="AL69" s="54">
        <f t="shared" si="17"/>
        <v>116.03321250000003</v>
      </c>
      <c r="AM69" s="54">
        <f t="shared" si="18"/>
        <v>81.223248750000025</v>
      </c>
      <c r="AN69" s="33">
        <v>135079.40919674042</v>
      </c>
      <c r="AO69" s="56">
        <f t="shared" si="19"/>
        <v>43225.410942956936</v>
      </c>
      <c r="AP69" s="58">
        <f t="shared" si="20"/>
        <v>0.7</v>
      </c>
      <c r="AQ69" s="59">
        <f t="shared" si="21"/>
        <v>2.1060362704525004</v>
      </c>
    </row>
    <row r="70" spans="1:43">
      <c r="A70" s="22" t="s">
        <v>528</v>
      </c>
      <c r="B70" s="22" t="s">
        <v>307</v>
      </c>
      <c r="C70" s="24" t="s">
        <v>359</v>
      </c>
      <c r="D70" s="38">
        <v>1</v>
      </c>
      <c r="E70" s="39" t="s">
        <v>770</v>
      </c>
      <c r="F70" s="40"/>
      <c r="G70" s="41">
        <v>1865</v>
      </c>
      <c r="H70" s="40"/>
      <c r="I70" s="40"/>
      <c r="J70" s="42">
        <v>336</v>
      </c>
      <c r="K70" s="43" t="s">
        <v>172</v>
      </c>
      <c r="L70" s="43" t="s">
        <v>178</v>
      </c>
      <c r="M70" s="42" t="s">
        <v>598</v>
      </c>
      <c r="N70" s="43" t="s">
        <v>131</v>
      </c>
      <c r="O70" s="43" t="s">
        <v>790</v>
      </c>
      <c r="P70" s="44">
        <v>0</v>
      </c>
      <c r="Q70" s="45" t="s">
        <v>25</v>
      </c>
      <c r="R70" s="45" t="s">
        <v>789</v>
      </c>
      <c r="S70" s="42">
        <v>2026</v>
      </c>
      <c r="T70" s="46">
        <v>46295</v>
      </c>
      <c r="U70" s="47">
        <v>0.81</v>
      </c>
      <c r="V70" s="47">
        <v>0.18999999999999995</v>
      </c>
      <c r="W70" s="48">
        <f t="shared" si="12"/>
        <v>1</v>
      </c>
      <c r="X70" s="47">
        <v>0.05</v>
      </c>
      <c r="Y70" s="47">
        <v>0</v>
      </c>
      <c r="Z70" s="47">
        <v>6.8000000000000005E-2</v>
      </c>
      <c r="AA70" s="53">
        <v>0.19800000000000001</v>
      </c>
      <c r="AB70" s="47"/>
      <c r="AC70" s="51">
        <v>169349</v>
      </c>
      <c r="AD70" s="46"/>
      <c r="AE70" s="40">
        <f t="shared" si="14"/>
        <v>0</v>
      </c>
      <c r="AF70" s="53">
        <f t="shared" si="15"/>
        <v>0</v>
      </c>
      <c r="AG70" s="55">
        <f t="shared" si="16"/>
        <v>22.503599999999999</v>
      </c>
      <c r="AH70" s="40">
        <v>133</v>
      </c>
      <c r="AI70" s="40">
        <v>235</v>
      </c>
      <c r="AJ70" s="40">
        <v>720</v>
      </c>
      <c r="AK70" s="40">
        <v>450</v>
      </c>
      <c r="AL70" s="55">
        <f t="shared" si="17"/>
        <v>76.14</v>
      </c>
      <c r="AM70" s="55">
        <f t="shared" si="18"/>
        <v>61.673400000000008</v>
      </c>
      <c r="AN70" s="49">
        <v>90000</v>
      </c>
      <c r="AO70" s="57">
        <f t="shared" si="19"/>
        <v>31255</v>
      </c>
      <c r="AP70" s="60">
        <f t="shared" si="20"/>
        <v>0.81</v>
      </c>
      <c r="AQ70" s="61">
        <f t="shared" si="21"/>
        <v>2.7406015037593989</v>
      </c>
    </row>
    <row r="71" spans="1:43">
      <c r="A71" s="22" t="s">
        <v>528</v>
      </c>
      <c r="B71" s="22" t="s">
        <v>308</v>
      </c>
      <c r="C71" s="24" t="s">
        <v>359</v>
      </c>
      <c r="D71" s="25">
        <v>1</v>
      </c>
      <c r="E71" s="26" t="s">
        <v>770</v>
      </c>
      <c r="F71" s="20"/>
      <c r="G71" s="27">
        <v>1865</v>
      </c>
      <c r="H71" s="20"/>
      <c r="I71" s="20"/>
      <c r="J71" s="28">
        <v>337</v>
      </c>
      <c r="K71" s="29" t="s">
        <v>172</v>
      </c>
      <c r="L71" s="29" t="s">
        <v>178</v>
      </c>
      <c r="M71" s="28" t="s">
        <v>598</v>
      </c>
      <c r="N71" s="29" t="s">
        <v>179</v>
      </c>
      <c r="O71" s="29" t="s">
        <v>790</v>
      </c>
      <c r="P71" s="37">
        <v>0</v>
      </c>
      <c r="Q71" s="30" t="s">
        <v>25</v>
      </c>
      <c r="R71" s="30" t="s">
        <v>789</v>
      </c>
      <c r="S71" s="28">
        <v>2027</v>
      </c>
      <c r="T71" s="32">
        <v>46660</v>
      </c>
      <c r="U71" s="31">
        <v>0.81</v>
      </c>
      <c r="V71" s="31">
        <v>0.18999999999999995</v>
      </c>
      <c r="W71" s="36">
        <f t="shared" si="12"/>
        <v>1</v>
      </c>
      <c r="X71" s="31">
        <v>0.05</v>
      </c>
      <c r="Y71" s="31">
        <v>0</v>
      </c>
      <c r="Z71" s="31">
        <v>6.8000000000000005E-2</v>
      </c>
      <c r="AA71" s="52">
        <v>0.19800000000000001</v>
      </c>
      <c r="AB71" s="31"/>
      <c r="AC71" s="50">
        <v>169349</v>
      </c>
      <c r="AD71" s="32"/>
      <c r="AE71" s="20">
        <f t="shared" si="14"/>
        <v>0</v>
      </c>
      <c r="AF71" s="52">
        <f t="shared" si="15"/>
        <v>0</v>
      </c>
      <c r="AG71" s="54">
        <f t="shared" si="16"/>
        <v>22.567972000000001</v>
      </c>
      <c r="AH71" s="20">
        <v>133</v>
      </c>
      <c r="AI71" s="20">
        <v>236</v>
      </c>
      <c r="AJ71" s="20">
        <v>719</v>
      </c>
      <c r="AK71" s="20">
        <v>450</v>
      </c>
      <c r="AL71" s="54">
        <f t="shared" si="17"/>
        <v>76.357799999999997</v>
      </c>
      <c r="AM71" s="54">
        <f t="shared" si="18"/>
        <v>61.849817999999999</v>
      </c>
      <c r="AN71" s="33">
        <v>90000</v>
      </c>
      <c r="AO71" s="56">
        <f t="shared" si="19"/>
        <v>31388</v>
      </c>
      <c r="AP71" s="58">
        <f t="shared" si="20"/>
        <v>0.81</v>
      </c>
      <c r="AQ71" s="59">
        <f t="shared" si="21"/>
        <v>2.7406015037593985</v>
      </c>
    </row>
    <row r="72" spans="1:43">
      <c r="A72" s="22" t="s">
        <v>529</v>
      </c>
      <c r="B72" s="22" t="s">
        <v>309</v>
      </c>
      <c r="C72" s="24" t="s">
        <v>359</v>
      </c>
      <c r="D72" s="38">
        <v>1</v>
      </c>
      <c r="E72" s="39" t="s">
        <v>770</v>
      </c>
      <c r="F72" s="40"/>
      <c r="G72" s="41">
        <v>1865</v>
      </c>
      <c r="H72" s="40"/>
      <c r="I72" s="40"/>
      <c r="J72" s="42">
        <v>338</v>
      </c>
      <c r="K72" s="43" t="s">
        <v>172</v>
      </c>
      <c r="L72" s="43" t="s">
        <v>178</v>
      </c>
      <c r="M72" s="42" t="s">
        <v>598</v>
      </c>
      <c r="N72" s="43" t="s">
        <v>48</v>
      </c>
      <c r="O72" s="43" t="s">
        <v>790</v>
      </c>
      <c r="P72" s="44">
        <v>0</v>
      </c>
      <c r="Q72" s="45" t="s">
        <v>25</v>
      </c>
      <c r="R72" s="45" t="s">
        <v>789</v>
      </c>
      <c r="S72" s="42">
        <v>2029</v>
      </c>
      <c r="T72" s="46">
        <v>47391</v>
      </c>
      <c r="U72" s="47">
        <v>0.81</v>
      </c>
      <c r="V72" s="47">
        <v>0.18999999999999995</v>
      </c>
      <c r="W72" s="48">
        <f t="shared" si="12"/>
        <v>1</v>
      </c>
      <c r="X72" s="47">
        <v>0.05</v>
      </c>
      <c r="Y72" s="47">
        <v>0</v>
      </c>
      <c r="Z72" s="47">
        <v>6.8000000000000005E-2</v>
      </c>
      <c r="AA72" s="53">
        <v>0.19800000000000001</v>
      </c>
      <c r="AB72" s="47"/>
      <c r="AC72" s="51">
        <v>240277</v>
      </c>
      <c r="AD72" s="46"/>
      <c r="AE72" s="40">
        <f t="shared" si="14"/>
        <v>0</v>
      </c>
      <c r="AF72" s="53">
        <f t="shared" si="15"/>
        <v>0</v>
      </c>
      <c r="AG72" s="55">
        <f t="shared" si="16"/>
        <v>32.026400000000002</v>
      </c>
      <c r="AH72" s="40">
        <v>133</v>
      </c>
      <c r="AI72" s="40">
        <v>215</v>
      </c>
      <c r="AJ72" s="40">
        <v>1120</v>
      </c>
      <c r="AK72" s="40">
        <v>450</v>
      </c>
      <c r="AL72" s="55">
        <f t="shared" si="17"/>
        <v>108.36</v>
      </c>
      <c r="AM72" s="55">
        <f t="shared" si="18"/>
        <v>87.771600000000007</v>
      </c>
      <c r="AN72" s="49">
        <v>90000</v>
      </c>
      <c r="AO72" s="57">
        <f t="shared" si="19"/>
        <v>28595</v>
      </c>
      <c r="AP72" s="60">
        <f t="shared" si="20"/>
        <v>0.81</v>
      </c>
      <c r="AQ72" s="61">
        <f t="shared" si="21"/>
        <v>2.7406015037593985</v>
      </c>
    </row>
    <row r="73" spans="1:43">
      <c r="A73" s="22" t="s">
        <v>530</v>
      </c>
      <c r="B73" s="22" t="s">
        <v>310</v>
      </c>
      <c r="C73" s="24" t="s">
        <v>359</v>
      </c>
      <c r="D73" s="25">
        <v>1</v>
      </c>
      <c r="E73" s="26" t="s">
        <v>770</v>
      </c>
      <c r="F73" s="20"/>
      <c r="G73" s="27">
        <v>1865</v>
      </c>
      <c r="H73" s="20"/>
      <c r="I73" s="20"/>
      <c r="J73" s="28">
        <v>339</v>
      </c>
      <c r="K73" s="29" t="s">
        <v>172</v>
      </c>
      <c r="L73" s="29" t="s">
        <v>178</v>
      </c>
      <c r="M73" s="28" t="s">
        <v>598</v>
      </c>
      <c r="N73" s="29" t="s">
        <v>49</v>
      </c>
      <c r="O73" s="29" t="s">
        <v>790</v>
      </c>
      <c r="P73" s="37">
        <v>0</v>
      </c>
      <c r="Q73" s="30" t="s">
        <v>25</v>
      </c>
      <c r="R73" s="30" t="s">
        <v>26</v>
      </c>
      <c r="S73" s="28">
        <v>2031</v>
      </c>
      <c r="T73" s="32">
        <v>48121</v>
      </c>
      <c r="U73" s="31">
        <v>0.81</v>
      </c>
      <c r="V73" s="31">
        <v>0.18999999999999995</v>
      </c>
      <c r="W73" s="36">
        <f t="shared" si="12"/>
        <v>1</v>
      </c>
      <c r="X73" s="31">
        <v>0.05</v>
      </c>
      <c r="Y73" s="31">
        <v>0</v>
      </c>
      <c r="Z73" s="31">
        <v>6.8000000000000005E-2</v>
      </c>
      <c r="AA73" s="52">
        <v>0.19800000000000001</v>
      </c>
      <c r="AB73" s="31"/>
      <c r="AC73" s="50">
        <f t="shared" ref="AC73:AC83" si="22">AI73*AJ73</f>
        <v>296270</v>
      </c>
      <c r="AD73" s="32"/>
      <c r="AE73" s="20">
        <f t="shared" si="14"/>
        <v>0</v>
      </c>
      <c r="AF73" s="52">
        <f t="shared" si="15"/>
        <v>0</v>
      </c>
      <c r="AG73" s="54">
        <f t="shared" si="16"/>
        <v>39.403910000000003</v>
      </c>
      <c r="AH73" s="20">
        <v>133</v>
      </c>
      <c r="AI73" s="20">
        <v>215</v>
      </c>
      <c r="AJ73" s="20">
        <v>1378</v>
      </c>
      <c r="AK73" s="20">
        <v>477.27</v>
      </c>
      <c r="AL73" s="54">
        <f t="shared" si="17"/>
        <v>141.40078289999997</v>
      </c>
      <c r="AM73" s="54">
        <f t="shared" si="18"/>
        <v>114.53463414899998</v>
      </c>
      <c r="AN73" s="33">
        <v>104999.4</v>
      </c>
      <c r="AO73" s="56">
        <f t="shared" si="19"/>
        <v>28595</v>
      </c>
      <c r="AP73" s="58">
        <f t="shared" si="20"/>
        <v>0.81</v>
      </c>
      <c r="AQ73" s="59">
        <f t="shared" si="21"/>
        <v>2.9066819548872176</v>
      </c>
    </row>
    <row r="74" spans="1:43">
      <c r="A74" s="22" t="s">
        <v>531</v>
      </c>
      <c r="B74" s="22" t="s">
        <v>311</v>
      </c>
      <c r="C74" s="24" t="s">
        <v>358</v>
      </c>
      <c r="D74" s="38">
        <v>1</v>
      </c>
      <c r="E74" s="39" t="s">
        <v>770</v>
      </c>
      <c r="F74" s="40"/>
      <c r="G74" s="41">
        <v>2107</v>
      </c>
      <c r="H74" s="40"/>
      <c r="I74" s="40"/>
      <c r="J74" s="42">
        <v>340</v>
      </c>
      <c r="K74" s="43" t="s">
        <v>172</v>
      </c>
      <c r="L74" s="43" t="s">
        <v>180</v>
      </c>
      <c r="M74" s="42" t="s">
        <v>598</v>
      </c>
      <c r="N74" s="43" t="s">
        <v>131</v>
      </c>
      <c r="O74" s="43" t="s">
        <v>786</v>
      </c>
      <c r="P74" s="44">
        <v>10682.93</v>
      </c>
      <c r="Q74" s="45" t="s">
        <v>25</v>
      </c>
      <c r="R74" s="45" t="s">
        <v>789</v>
      </c>
      <c r="S74" s="42">
        <v>2028</v>
      </c>
      <c r="T74" s="46">
        <v>47118</v>
      </c>
      <c r="U74" s="47">
        <v>0.7</v>
      </c>
      <c r="V74" s="47">
        <v>0.30000000000000004</v>
      </c>
      <c r="W74" s="48">
        <f t="shared" si="12"/>
        <v>1</v>
      </c>
      <c r="X74" s="47">
        <v>0.05</v>
      </c>
      <c r="Y74" s="47">
        <v>9.0000000000000011E-2</v>
      </c>
      <c r="Z74" s="47">
        <v>6.8000000000000005E-2</v>
      </c>
      <c r="AA74" s="53">
        <v>0.19800000000000001</v>
      </c>
      <c r="AB74" s="47"/>
      <c r="AC74" s="51">
        <f t="shared" si="22"/>
        <v>280040.63040000002</v>
      </c>
      <c r="AD74" s="46"/>
      <c r="AE74" s="40">
        <f t="shared" si="14"/>
        <v>1.068293E-2</v>
      </c>
      <c r="AF74" s="53">
        <f t="shared" si="15"/>
        <v>7.6295571715724852E-5</v>
      </c>
      <c r="AG74" s="55">
        <f t="shared" si="16"/>
        <v>37.245403843199995</v>
      </c>
      <c r="AH74" s="40">
        <v>133</v>
      </c>
      <c r="AI74" s="40">
        <v>324.12110000000001</v>
      </c>
      <c r="AJ74" s="40">
        <v>864</v>
      </c>
      <c r="AK74" s="40">
        <v>500</v>
      </c>
      <c r="AL74" s="55">
        <f t="shared" si="17"/>
        <v>140.02031520000003</v>
      </c>
      <c r="AM74" s="55">
        <f t="shared" si="18"/>
        <v>98.014220640000019</v>
      </c>
      <c r="AN74" s="49">
        <v>134980.96132897603</v>
      </c>
      <c r="AO74" s="57">
        <f t="shared" si="19"/>
        <v>43108.106299999999</v>
      </c>
      <c r="AP74" s="60">
        <f t="shared" si="20"/>
        <v>0.7</v>
      </c>
      <c r="AQ74" s="61">
        <f t="shared" si="21"/>
        <v>2.6308243599675669</v>
      </c>
    </row>
    <row r="75" spans="1:43">
      <c r="A75" s="22" t="s">
        <v>531</v>
      </c>
      <c r="B75" s="22" t="s">
        <v>312</v>
      </c>
      <c r="C75" s="24" t="s">
        <v>358</v>
      </c>
      <c r="D75" s="25">
        <v>1</v>
      </c>
      <c r="E75" s="26" t="s">
        <v>770</v>
      </c>
      <c r="F75" s="20"/>
      <c r="G75" s="27">
        <v>2107</v>
      </c>
      <c r="H75" s="20"/>
      <c r="I75" s="20"/>
      <c r="J75" s="28">
        <v>341</v>
      </c>
      <c r="K75" s="29" t="s">
        <v>172</v>
      </c>
      <c r="L75" s="29" t="s">
        <v>180</v>
      </c>
      <c r="M75" s="28" t="s">
        <v>598</v>
      </c>
      <c r="N75" s="29" t="s">
        <v>179</v>
      </c>
      <c r="O75" s="29" t="s">
        <v>786</v>
      </c>
      <c r="P75" s="37">
        <v>10682.93</v>
      </c>
      <c r="Q75" s="30" t="s">
        <v>25</v>
      </c>
      <c r="R75" s="30" t="s">
        <v>789</v>
      </c>
      <c r="S75" s="28">
        <v>2029</v>
      </c>
      <c r="T75" s="32">
        <v>47483</v>
      </c>
      <c r="U75" s="31">
        <v>0.7</v>
      </c>
      <c r="V75" s="31">
        <v>0.30000000000000004</v>
      </c>
      <c r="W75" s="36">
        <f t="shared" si="12"/>
        <v>1</v>
      </c>
      <c r="X75" s="31">
        <v>0.05</v>
      </c>
      <c r="Y75" s="31">
        <v>9.0000000000000011E-2</v>
      </c>
      <c r="Z75" s="31">
        <v>6.8000000000000005E-2</v>
      </c>
      <c r="AA75" s="52">
        <v>0.19800000000000001</v>
      </c>
      <c r="AB75" s="31"/>
      <c r="AC75" s="50">
        <f t="shared" si="22"/>
        <v>279716.50930000003</v>
      </c>
      <c r="AD75" s="32"/>
      <c r="AE75" s="20">
        <f t="shared" si="14"/>
        <v>1.068293E-2</v>
      </c>
      <c r="AF75" s="52">
        <f t="shared" si="15"/>
        <v>7.6383979098941249E-5</v>
      </c>
      <c r="AG75" s="54">
        <f t="shared" si="16"/>
        <v>37.202295736899998</v>
      </c>
      <c r="AH75" s="20">
        <v>133</v>
      </c>
      <c r="AI75" s="20">
        <v>324.12110000000001</v>
      </c>
      <c r="AJ75" s="20">
        <v>863</v>
      </c>
      <c r="AK75" s="20">
        <v>499.99999999999994</v>
      </c>
      <c r="AL75" s="54">
        <f t="shared" si="17"/>
        <v>139.85825464999996</v>
      </c>
      <c r="AM75" s="54">
        <f t="shared" si="18"/>
        <v>97.900778254999963</v>
      </c>
      <c r="AN75" s="33">
        <v>135128.15976008723</v>
      </c>
      <c r="AO75" s="56">
        <f t="shared" si="19"/>
        <v>43108.106299999999</v>
      </c>
      <c r="AP75" s="58">
        <f t="shared" si="20"/>
        <v>0.7</v>
      </c>
      <c r="AQ75" s="59">
        <f t="shared" si="21"/>
        <v>2.6308234858415198</v>
      </c>
    </row>
    <row r="76" spans="1:43">
      <c r="A76" s="22" t="s">
        <v>532</v>
      </c>
      <c r="B76" s="22" t="s">
        <v>313</v>
      </c>
      <c r="C76" s="24" t="s">
        <v>358</v>
      </c>
      <c r="D76" s="38">
        <v>1</v>
      </c>
      <c r="E76" s="39" t="s">
        <v>770</v>
      </c>
      <c r="F76" s="40"/>
      <c r="G76" s="41">
        <v>2107</v>
      </c>
      <c r="H76" s="40"/>
      <c r="I76" s="40"/>
      <c r="J76" s="42">
        <v>342</v>
      </c>
      <c r="K76" s="43" t="s">
        <v>172</v>
      </c>
      <c r="L76" s="43" t="s">
        <v>180</v>
      </c>
      <c r="M76" s="42" t="s">
        <v>598</v>
      </c>
      <c r="N76" s="43" t="s">
        <v>48</v>
      </c>
      <c r="O76" s="43" t="s">
        <v>786</v>
      </c>
      <c r="P76" s="44">
        <v>10682.93</v>
      </c>
      <c r="Q76" s="45" t="s">
        <v>25</v>
      </c>
      <c r="R76" s="45" t="s">
        <v>26</v>
      </c>
      <c r="S76" s="42">
        <v>2030</v>
      </c>
      <c r="T76" s="46">
        <v>47848</v>
      </c>
      <c r="U76" s="47">
        <v>0.7</v>
      </c>
      <c r="V76" s="47">
        <v>0.30000000000000004</v>
      </c>
      <c r="W76" s="48">
        <f t="shared" si="12"/>
        <v>1</v>
      </c>
      <c r="X76" s="47">
        <v>0.05</v>
      </c>
      <c r="Y76" s="47">
        <v>9.0000000000000011E-2</v>
      </c>
      <c r="Z76" s="47">
        <v>6.8000000000000005E-2</v>
      </c>
      <c r="AA76" s="53">
        <v>0.19800000000000001</v>
      </c>
      <c r="AB76" s="47"/>
      <c r="AC76" s="51">
        <f t="shared" si="22"/>
        <v>240799.2486207328</v>
      </c>
      <c r="AD76" s="46"/>
      <c r="AE76" s="40">
        <f t="shared" si="14"/>
        <v>1.068293E-2</v>
      </c>
      <c r="AF76" s="53">
        <f t="shared" si="15"/>
        <v>8.872893134999758E-5</v>
      </c>
      <c r="AG76" s="55">
        <f t="shared" si="16"/>
        <v>32.026300066557461</v>
      </c>
      <c r="AH76" s="40">
        <v>133</v>
      </c>
      <c r="AI76" s="40">
        <v>264.905664049211</v>
      </c>
      <c r="AJ76" s="40">
        <v>909</v>
      </c>
      <c r="AK76" s="40">
        <v>500.00000000000006</v>
      </c>
      <c r="AL76" s="55">
        <f t="shared" si="17"/>
        <v>120.39962431036641</v>
      </c>
      <c r="AM76" s="55">
        <f t="shared" si="18"/>
        <v>84.27973701725648</v>
      </c>
      <c r="AN76" s="49">
        <v>132452.83202460551</v>
      </c>
      <c r="AO76" s="57">
        <f t="shared" si="19"/>
        <v>35232.453318545064</v>
      </c>
      <c r="AP76" s="60">
        <f t="shared" si="20"/>
        <v>0.7</v>
      </c>
      <c r="AQ76" s="61">
        <f t="shared" si="21"/>
        <v>2.6307014311026968</v>
      </c>
    </row>
    <row r="77" spans="1:43">
      <c r="A77" s="22" t="s">
        <v>532</v>
      </c>
      <c r="B77" s="22" t="s">
        <v>314</v>
      </c>
      <c r="C77" s="24" t="s">
        <v>358</v>
      </c>
      <c r="D77" s="25">
        <v>1</v>
      </c>
      <c r="E77" s="26" t="s">
        <v>770</v>
      </c>
      <c r="F77" s="20"/>
      <c r="G77" s="27">
        <v>2107</v>
      </c>
      <c r="H77" s="20"/>
      <c r="I77" s="20"/>
      <c r="J77" s="28">
        <v>343</v>
      </c>
      <c r="K77" s="29" t="s">
        <v>172</v>
      </c>
      <c r="L77" s="29" t="s">
        <v>180</v>
      </c>
      <c r="M77" s="28" t="s">
        <v>598</v>
      </c>
      <c r="N77" s="29" t="s">
        <v>174</v>
      </c>
      <c r="O77" s="29" t="s">
        <v>786</v>
      </c>
      <c r="P77" s="37">
        <v>10682.93</v>
      </c>
      <c r="Q77" s="30" t="s">
        <v>25</v>
      </c>
      <c r="R77" s="30" t="s">
        <v>26</v>
      </c>
      <c r="S77" s="28">
        <v>2031</v>
      </c>
      <c r="T77" s="32">
        <v>48213</v>
      </c>
      <c r="U77" s="31">
        <v>0.7</v>
      </c>
      <c r="V77" s="31">
        <v>0.30000000000000004</v>
      </c>
      <c r="W77" s="36">
        <f t="shared" si="12"/>
        <v>1</v>
      </c>
      <c r="X77" s="31">
        <v>0.05</v>
      </c>
      <c r="Y77" s="31">
        <v>9.0000000000000011E-2</v>
      </c>
      <c r="Z77" s="31">
        <v>6.8000000000000005E-2</v>
      </c>
      <c r="AA77" s="52">
        <v>0.19800000000000001</v>
      </c>
      <c r="AB77" s="31"/>
      <c r="AC77" s="50">
        <f t="shared" si="22"/>
        <v>240799.24862073277</v>
      </c>
      <c r="AD77" s="32"/>
      <c r="AE77" s="20">
        <f t="shared" si="14"/>
        <v>1.068293E-2</v>
      </c>
      <c r="AF77" s="52">
        <f t="shared" si="15"/>
        <v>8.8728931349997593E-5</v>
      </c>
      <c r="AG77" s="54">
        <f t="shared" si="16"/>
        <v>32.026300066557461</v>
      </c>
      <c r="AH77" s="20">
        <v>133</v>
      </c>
      <c r="AI77" s="20">
        <v>265.19741037525637</v>
      </c>
      <c r="AJ77" s="20">
        <v>908</v>
      </c>
      <c r="AK77" s="20">
        <v>500</v>
      </c>
      <c r="AL77" s="54">
        <f t="shared" si="17"/>
        <v>120.39962431036639</v>
      </c>
      <c r="AM77" s="54">
        <f t="shared" si="18"/>
        <v>84.279737017256465</v>
      </c>
      <c r="AN77" s="33">
        <v>132598.70518762819</v>
      </c>
      <c r="AO77" s="56">
        <f t="shared" si="19"/>
        <v>35271.255579909099</v>
      </c>
      <c r="AP77" s="58">
        <f t="shared" si="20"/>
        <v>0.7</v>
      </c>
      <c r="AQ77" s="59">
        <f t="shared" si="21"/>
        <v>2.6307014311026964</v>
      </c>
    </row>
    <row r="78" spans="1:43">
      <c r="A78" s="22" t="s">
        <v>532</v>
      </c>
      <c r="B78" s="22" t="s">
        <v>315</v>
      </c>
      <c r="C78" s="24" t="s">
        <v>358</v>
      </c>
      <c r="D78" s="38">
        <v>1</v>
      </c>
      <c r="E78" s="39" t="s">
        <v>770</v>
      </c>
      <c r="F78" s="40"/>
      <c r="G78" s="41">
        <v>2107</v>
      </c>
      <c r="H78" s="40"/>
      <c r="I78" s="40"/>
      <c r="J78" s="42">
        <v>344</v>
      </c>
      <c r="K78" s="43" t="s">
        <v>172</v>
      </c>
      <c r="L78" s="43" t="s">
        <v>180</v>
      </c>
      <c r="M78" s="42" t="s">
        <v>598</v>
      </c>
      <c r="N78" s="43" t="s">
        <v>49</v>
      </c>
      <c r="O78" s="43" t="s">
        <v>786</v>
      </c>
      <c r="P78" s="44">
        <v>10682.93</v>
      </c>
      <c r="Q78" s="45" t="s">
        <v>25</v>
      </c>
      <c r="R78" s="45" t="s">
        <v>26</v>
      </c>
      <c r="S78" s="42">
        <v>2032</v>
      </c>
      <c r="T78" s="46">
        <v>48579</v>
      </c>
      <c r="U78" s="47">
        <v>0.7</v>
      </c>
      <c r="V78" s="47">
        <v>0.30000000000000004</v>
      </c>
      <c r="W78" s="48">
        <f t="shared" si="12"/>
        <v>1</v>
      </c>
      <c r="X78" s="47">
        <v>0.05</v>
      </c>
      <c r="Y78" s="47">
        <v>9.0000000000000011E-2</v>
      </c>
      <c r="Z78" s="47">
        <v>6.8000000000000005E-2</v>
      </c>
      <c r="AA78" s="53">
        <v>0.19800000000000001</v>
      </c>
      <c r="AB78" s="47"/>
      <c r="AC78" s="51">
        <f t="shared" si="22"/>
        <v>365843.31</v>
      </c>
      <c r="AD78" s="46"/>
      <c r="AE78" s="40">
        <f t="shared" si="14"/>
        <v>1.068293E-2</v>
      </c>
      <c r="AF78" s="53">
        <f t="shared" si="15"/>
        <v>5.8401669282950674E-5</v>
      </c>
      <c r="AG78" s="55">
        <f t="shared" si="16"/>
        <v>48.657160229999995</v>
      </c>
      <c r="AH78" s="40">
        <v>133</v>
      </c>
      <c r="AI78" s="40">
        <v>263.76590483056958</v>
      </c>
      <c r="AJ78" s="40">
        <v>1387</v>
      </c>
      <c r="AK78" s="40">
        <v>500</v>
      </c>
      <c r="AL78" s="55">
        <f t="shared" si="17"/>
        <v>182.92165499999999</v>
      </c>
      <c r="AM78" s="55">
        <f t="shared" si="18"/>
        <v>128.04515849999999</v>
      </c>
      <c r="AN78" s="49">
        <v>131882.95241528479</v>
      </c>
      <c r="AO78" s="57">
        <f t="shared" si="19"/>
        <v>35080.865342465753</v>
      </c>
      <c r="AP78" s="60">
        <f t="shared" si="20"/>
        <v>0.7</v>
      </c>
      <c r="AQ78" s="61">
        <f t="shared" si="21"/>
        <v>2.6310012974900037</v>
      </c>
    </row>
    <row r="79" spans="1:43">
      <c r="A79" s="22" t="s">
        <v>532</v>
      </c>
      <c r="B79" s="22" t="s">
        <v>316</v>
      </c>
      <c r="C79" s="24" t="s">
        <v>358</v>
      </c>
      <c r="D79" s="25">
        <v>1</v>
      </c>
      <c r="E79" s="26" t="s">
        <v>770</v>
      </c>
      <c r="F79" s="20"/>
      <c r="G79" s="27">
        <v>2107</v>
      </c>
      <c r="H79" s="20"/>
      <c r="I79" s="20"/>
      <c r="J79" s="28">
        <v>345</v>
      </c>
      <c r="K79" s="29" t="s">
        <v>172</v>
      </c>
      <c r="L79" s="29" t="s">
        <v>180</v>
      </c>
      <c r="M79" s="28" t="s">
        <v>598</v>
      </c>
      <c r="N79" s="29" t="s">
        <v>50</v>
      </c>
      <c r="O79" s="29" t="s">
        <v>786</v>
      </c>
      <c r="P79" s="37">
        <v>10682.93</v>
      </c>
      <c r="Q79" s="30" t="s">
        <v>25</v>
      </c>
      <c r="R79" s="30" t="s">
        <v>26</v>
      </c>
      <c r="S79" s="28">
        <v>2034</v>
      </c>
      <c r="T79" s="32">
        <v>49309</v>
      </c>
      <c r="U79" s="31">
        <v>0.7</v>
      </c>
      <c r="V79" s="31">
        <v>0.30000000000000004</v>
      </c>
      <c r="W79" s="36">
        <f t="shared" si="12"/>
        <v>1</v>
      </c>
      <c r="X79" s="31">
        <v>0.05</v>
      </c>
      <c r="Y79" s="31">
        <v>9.0000000000000011E-2</v>
      </c>
      <c r="Z79" s="31">
        <v>6.8000000000000005E-2</v>
      </c>
      <c r="AA79" s="52">
        <v>0.19800000000000001</v>
      </c>
      <c r="AB79" s="31"/>
      <c r="AC79" s="50">
        <f t="shared" si="22"/>
        <v>252026.52</v>
      </c>
      <c r="AD79" s="32"/>
      <c r="AE79" s="20">
        <f t="shared" si="14"/>
        <v>1.068293E-2</v>
      </c>
      <c r="AF79" s="52">
        <f t="shared" si="15"/>
        <v>8.477623704045114E-5</v>
      </c>
      <c r="AG79" s="54">
        <f t="shared" si="16"/>
        <v>33.519527160000003</v>
      </c>
      <c r="AH79" s="20">
        <v>133</v>
      </c>
      <c r="AI79" s="20">
        <v>259.02006166495374</v>
      </c>
      <c r="AJ79" s="20">
        <v>973</v>
      </c>
      <c r="AK79" s="20">
        <v>500</v>
      </c>
      <c r="AL79" s="54">
        <f t="shared" si="17"/>
        <v>126.01326</v>
      </c>
      <c r="AM79" s="54">
        <f t="shared" si="18"/>
        <v>88.209282000000002</v>
      </c>
      <c r="AN79" s="33">
        <v>129510.03083247687</v>
      </c>
      <c r="AO79" s="56">
        <f t="shared" si="19"/>
        <v>34449.66820143885</v>
      </c>
      <c r="AP79" s="58">
        <f t="shared" si="20"/>
        <v>0.7</v>
      </c>
      <c r="AQ79" s="59">
        <f t="shared" si="21"/>
        <v>2.6307405102214791</v>
      </c>
    </row>
    <row r="80" spans="1:43">
      <c r="A80" s="22" t="s">
        <v>533</v>
      </c>
      <c r="B80" s="22" t="s">
        <v>318</v>
      </c>
      <c r="C80" s="24" t="s">
        <v>357</v>
      </c>
      <c r="D80" s="38">
        <v>1</v>
      </c>
      <c r="E80" s="39" t="s">
        <v>770</v>
      </c>
      <c r="F80" s="40"/>
      <c r="G80" s="41">
        <v>1930</v>
      </c>
      <c r="H80" s="40"/>
      <c r="I80" s="40"/>
      <c r="J80" s="42">
        <v>347</v>
      </c>
      <c r="K80" s="43" t="s">
        <v>172</v>
      </c>
      <c r="L80" s="43" t="s">
        <v>181</v>
      </c>
      <c r="M80" s="42" t="s">
        <v>598</v>
      </c>
      <c r="N80" s="43" t="s">
        <v>182</v>
      </c>
      <c r="O80" s="43" t="s">
        <v>790</v>
      </c>
      <c r="P80" s="44">
        <v>0</v>
      </c>
      <c r="Q80" s="45" t="s">
        <v>78</v>
      </c>
      <c r="R80" s="45" t="s">
        <v>26</v>
      </c>
      <c r="S80" s="42">
        <v>2029</v>
      </c>
      <c r="T80" s="46">
        <v>47299</v>
      </c>
      <c r="U80" s="47">
        <v>0.7</v>
      </c>
      <c r="V80" s="47">
        <v>0.30000000000000004</v>
      </c>
      <c r="W80" s="48">
        <f t="shared" si="12"/>
        <v>1</v>
      </c>
      <c r="X80" s="47">
        <v>0.05</v>
      </c>
      <c r="Y80" s="47">
        <v>9.0000000000000011E-2</v>
      </c>
      <c r="Z80" s="47">
        <v>6.8000000000000005E-2</v>
      </c>
      <c r="AA80" s="53">
        <v>0.19800000000000001</v>
      </c>
      <c r="AB80" s="47"/>
      <c r="AC80" s="51">
        <f t="shared" si="22"/>
        <v>117260</v>
      </c>
      <c r="AD80" s="46"/>
      <c r="AE80" s="40">
        <f t="shared" si="14"/>
        <v>0</v>
      </c>
      <c r="AF80" s="53">
        <f t="shared" si="15"/>
        <v>0</v>
      </c>
      <c r="AG80" s="55">
        <f t="shared" si="16"/>
        <v>30.4876</v>
      </c>
      <c r="AH80" s="40">
        <v>260</v>
      </c>
      <c r="AI80" s="40">
        <v>220</v>
      </c>
      <c r="AJ80" s="40">
        <v>533</v>
      </c>
      <c r="AK80" s="40">
        <v>1200</v>
      </c>
      <c r="AL80" s="55">
        <f t="shared" si="17"/>
        <v>140.71199999999999</v>
      </c>
      <c r="AM80" s="55">
        <f t="shared" si="18"/>
        <v>98.49839999999999</v>
      </c>
      <c r="AN80" s="49">
        <v>264000</v>
      </c>
      <c r="AO80" s="57">
        <f t="shared" si="19"/>
        <v>57200</v>
      </c>
      <c r="AP80" s="60">
        <f t="shared" si="20"/>
        <v>0.7</v>
      </c>
      <c r="AQ80" s="61">
        <f t="shared" si="21"/>
        <v>3.2307692307692304</v>
      </c>
    </row>
    <row r="81" spans="1:43">
      <c r="A81" s="22" t="s">
        <v>534</v>
      </c>
      <c r="B81" s="22" t="s">
        <v>319</v>
      </c>
      <c r="C81" s="24" t="s">
        <v>357</v>
      </c>
      <c r="D81" s="25">
        <v>1</v>
      </c>
      <c r="E81" s="26" t="s">
        <v>770</v>
      </c>
      <c r="F81" s="20"/>
      <c r="G81" s="27">
        <v>1930</v>
      </c>
      <c r="H81" s="20"/>
      <c r="I81" s="20"/>
      <c r="J81" s="28">
        <v>348</v>
      </c>
      <c r="K81" s="29" t="s">
        <v>172</v>
      </c>
      <c r="L81" s="29" t="s">
        <v>181</v>
      </c>
      <c r="M81" s="28" t="s">
        <v>598</v>
      </c>
      <c r="N81" s="29" t="s">
        <v>183</v>
      </c>
      <c r="O81" s="29" t="s">
        <v>790</v>
      </c>
      <c r="P81" s="37">
        <v>0</v>
      </c>
      <c r="Q81" s="30" t="s">
        <v>78</v>
      </c>
      <c r="R81" s="30" t="s">
        <v>26</v>
      </c>
      <c r="S81" s="28">
        <v>2028</v>
      </c>
      <c r="T81" s="32">
        <v>46934</v>
      </c>
      <c r="U81" s="31">
        <v>0.7</v>
      </c>
      <c r="V81" s="31">
        <v>0.30000000000000004</v>
      </c>
      <c r="W81" s="36">
        <f t="shared" si="12"/>
        <v>1</v>
      </c>
      <c r="X81" s="31">
        <v>0.05</v>
      </c>
      <c r="Y81" s="31">
        <v>9.0000000000000011E-2</v>
      </c>
      <c r="Z81" s="31">
        <v>6.8000000000000005E-2</v>
      </c>
      <c r="AA81" s="52">
        <v>0.19800000000000001</v>
      </c>
      <c r="AB81" s="31"/>
      <c r="AC81" s="50">
        <f t="shared" si="22"/>
        <v>120999.99999999999</v>
      </c>
      <c r="AD81" s="32"/>
      <c r="AE81" s="20">
        <f t="shared" si="14"/>
        <v>0</v>
      </c>
      <c r="AF81" s="52">
        <f t="shared" si="15"/>
        <v>0</v>
      </c>
      <c r="AG81" s="54">
        <f t="shared" si="16"/>
        <v>31.459999999999997</v>
      </c>
      <c r="AH81" s="20">
        <v>260</v>
      </c>
      <c r="AI81" s="20">
        <v>360.11904761904759</v>
      </c>
      <c r="AJ81" s="20">
        <v>336</v>
      </c>
      <c r="AK81" s="20">
        <v>1200</v>
      </c>
      <c r="AL81" s="54">
        <f t="shared" si="17"/>
        <v>145.19999999999999</v>
      </c>
      <c r="AM81" s="54">
        <f t="shared" si="18"/>
        <v>101.63999999999999</v>
      </c>
      <c r="AN81" s="33">
        <v>432142.8571428571</v>
      </c>
      <c r="AO81" s="56">
        <f t="shared" si="19"/>
        <v>93630.952380952367</v>
      </c>
      <c r="AP81" s="58">
        <f t="shared" si="20"/>
        <v>0.7</v>
      </c>
      <c r="AQ81" s="59">
        <f t="shared" si="21"/>
        <v>3.2307692307692304</v>
      </c>
    </row>
    <row r="82" spans="1:43">
      <c r="A82" s="34" t="s">
        <v>577</v>
      </c>
      <c r="B82" s="22" t="s">
        <v>565</v>
      </c>
      <c r="C82" s="22"/>
      <c r="D82" s="38">
        <v>1</v>
      </c>
      <c r="E82" s="39" t="s">
        <v>770</v>
      </c>
      <c r="F82" s="40"/>
      <c r="G82" s="41">
        <v>1929</v>
      </c>
      <c r="H82" s="40"/>
      <c r="I82" s="40"/>
      <c r="J82" s="42"/>
      <c r="K82" s="43" t="s">
        <v>172</v>
      </c>
      <c r="L82" s="43" t="s">
        <v>181</v>
      </c>
      <c r="M82" s="42" t="s">
        <v>598</v>
      </c>
      <c r="N82" s="43" t="s">
        <v>565</v>
      </c>
      <c r="O82" s="43" t="s">
        <v>790</v>
      </c>
      <c r="P82" s="44">
        <v>0</v>
      </c>
      <c r="Q82" s="45" t="s">
        <v>78</v>
      </c>
      <c r="R82" s="45" t="s">
        <v>26</v>
      </c>
      <c r="S82" s="42"/>
      <c r="T82" s="46"/>
      <c r="U82" s="47">
        <v>0.7</v>
      </c>
      <c r="V82" s="47">
        <v>0.3</v>
      </c>
      <c r="W82" s="48">
        <f t="shared" si="12"/>
        <v>1</v>
      </c>
      <c r="X82" s="47"/>
      <c r="Y82" s="47"/>
      <c r="Z82" s="47"/>
      <c r="AA82" s="53">
        <v>0.19800000000000001</v>
      </c>
      <c r="AB82" s="47"/>
      <c r="AC82" s="51">
        <f t="shared" si="22"/>
        <v>238260</v>
      </c>
      <c r="AD82" s="46"/>
      <c r="AE82" s="40">
        <f t="shared" si="14"/>
        <v>0</v>
      </c>
      <c r="AF82" s="53">
        <f t="shared" si="15"/>
        <v>0</v>
      </c>
      <c r="AG82" s="55">
        <f t="shared" si="16"/>
        <v>71.477999999999994</v>
      </c>
      <c r="AH82" s="40">
        <v>300</v>
      </c>
      <c r="AI82" s="40">
        <v>220</v>
      </c>
      <c r="AJ82" s="40">
        <v>1083</v>
      </c>
      <c r="AK82" s="40">
        <v>1500</v>
      </c>
      <c r="AL82" s="55">
        <f t="shared" si="17"/>
        <v>357.39</v>
      </c>
      <c r="AM82" s="55">
        <f t="shared" si="18"/>
        <v>250.17299999999997</v>
      </c>
      <c r="AN82" s="49">
        <v>330000</v>
      </c>
      <c r="AO82" s="57">
        <f t="shared" si="19"/>
        <v>66000</v>
      </c>
      <c r="AP82" s="60">
        <f t="shared" si="20"/>
        <v>0.7</v>
      </c>
      <c r="AQ82" s="61">
        <f t="shared" si="21"/>
        <v>3.5</v>
      </c>
    </row>
    <row r="83" spans="1:43">
      <c r="A83" s="22" t="s">
        <v>535</v>
      </c>
      <c r="B83" s="22" t="s">
        <v>320</v>
      </c>
      <c r="C83" s="24" t="s">
        <v>356</v>
      </c>
      <c r="D83" s="25">
        <v>1</v>
      </c>
      <c r="E83" s="26" t="s">
        <v>770</v>
      </c>
      <c r="F83" s="20"/>
      <c r="G83" s="27">
        <v>2100</v>
      </c>
      <c r="H83" s="20"/>
      <c r="I83" s="20"/>
      <c r="J83" s="28">
        <v>349</v>
      </c>
      <c r="K83" s="29" t="s">
        <v>172</v>
      </c>
      <c r="L83" s="29" t="s">
        <v>184</v>
      </c>
      <c r="M83" s="28" t="s">
        <v>598</v>
      </c>
      <c r="N83" s="29" t="s">
        <v>124</v>
      </c>
      <c r="O83" s="29" t="s">
        <v>790</v>
      </c>
      <c r="P83" s="37">
        <v>0</v>
      </c>
      <c r="Q83" s="30" t="s">
        <v>78</v>
      </c>
      <c r="R83" s="30" t="s">
        <v>26</v>
      </c>
      <c r="S83" s="28">
        <v>2027</v>
      </c>
      <c r="T83" s="32">
        <v>46660</v>
      </c>
      <c r="U83" s="31">
        <v>0.65</v>
      </c>
      <c r="V83" s="31">
        <v>0.35</v>
      </c>
      <c r="W83" s="36">
        <f t="shared" si="12"/>
        <v>1</v>
      </c>
      <c r="X83" s="31">
        <v>0.05</v>
      </c>
      <c r="Y83" s="31">
        <v>0</v>
      </c>
      <c r="Z83" s="31">
        <v>6.8000000000000005E-2</v>
      </c>
      <c r="AA83" s="52">
        <v>0.19800000000000001</v>
      </c>
      <c r="AB83" s="31"/>
      <c r="AC83" s="50">
        <f t="shared" si="22"/>
        <v>300776</v>
      </c>
      <c r="AD83" s="32"/>
      <c r="AE83" s="20">
        <f t="shared" si="14"/>
        <v>0</v>
      </c>
      <c r="AF83" s="52">
        <f t="shared" si="15"/>
        <v>0</v>
      </c>
      <c r="AG83" s="54">
        <f t="shared" si="16"/>
        <v>96.248320000000007</v>
      </c>
      <c r="AH83" s="20">
        <v>320</v>
      </c>
      <c r="AI83" s="20">
        <v>360.21077844311378</v>
      </c>
      <c r="AJ83" s="20">
        <v>835</v>
      </c>
      <c r="AK83" s="20">
        <v>1500</v>
      </c>
      <c r="AL83" s="54">
        <f t="shared" si="17"/>
        <v>451.16399999999999</v>
      </c>
      <c r="AM83" s="54">
        <f t="shared" si="18"/>
        <v>293.25659999999999</v>
      </c>
      <c r="AN83" s="33">
        <v>720000</v>
      </c>
      <c r="AO83" s="56">
        <f t="shared" si="19"/>
        <v>115267.4491017964</v>
      </c>
      <c r="AP83" s="58">
        <f t="shared" si="20"/>
        <v>0.65</v>
      </c>
      <c r="AQ83" s="59">
        <f t="shared" si="21"/>
        <v>3.0468749999999996</v>
      </c>
    </row>
    <row r="84" spans="1:43">
      <c r="A84" s="22" t="s">
        <v>536</v>
      </c>
      <c r="B84" s="22" t="s">
        <v>321</v>
      </c>
      <c r="C84" s="24" t="s">
        <v>355</v>
      </c>
      <c r="D84" s="38">
        <v>1</v>
      </c>
      <c r="E84" s="39" t="s">
        <v>770</v>
      </c>
      <c r="F84" s="40"/>
      <c r="G84" s="41">
        <v>2102</v>
      </c>
      <c r="H84" s="40"/>
      <c r="I84" s="40"/>
      <c r="J84" s="42">
        <v>350</v>
      </c>
      <c r="K84" s="43" t="s">
        <v>172</v>
      </c>
      <c r="L84" s="43" t="s">
        <v>185</v>
      </c>
      <c r="M84" s="42" t="s">
        <v>599</v>
      </c>
      <c r="N84" s="43" t="s">
        <v>186</v>
      </c>
      <c r="O84" s="43" t="s">
        <v>790</v>
      </c>
      <c r="P84" s="44">
        <v>0</v>
      </c>
      <c r="Q84" s="45" t="s">
        <v>25</v>
      </c>
      <c r="R84" s="45" t="s">
        <v>789</v>
      </c>
      <c r="S84" s="42">
        <v>2026</v>
      </c>
      <c r="T84" s="46">
        <v>46387</v>
      </c>
      <c r="U84" s="47">
        <v>0.7</v>
      </c>
      <c r="V84" s="47">
        <v>0.30000000000000004</v>
      </c>
      <c r="W84" s="48">
        <f t="shared" ref="W84:W115" si="23">SUM(U84:V84)</f>
        <v>1</v>
      </c>
      <c r="X84" s="47">
        <v>0.05</v>
      </c>
      <c r="Y84" s="47">
        <v>9.0000000000000011E-2</v>
      </c>
      <c r="Z84" s="47">
        <v>6.8000000000000005E-2</v>
      </c>
      <c r="AA84" s="53">
        <v>0.19800000000000001</v>
      </c>
      <c r="AB84" s="47"/>
      <c r="AC84" s="51">
        <v>226990.07</v>
      </c>
      <c r="AD84" s="46"/>
      <c r="AE84" s="40">
        <f t="shared" ref="AE84:AE115" si="24">P84/10^6</f>
        <v>0</v>
      </c>
      <c r="AF84" s="53">
        <f t="shared" ref="AF84:AF115" si="25">IF(AL84=0,0,AE84/AL84)</f>
        <v>0</v>
      </c>
      <c r="AG84" s="55">
        <f t="shared" ref="AG84:AG115" si="26">(AH84*AI84*AJ84)/10^6</f>
        <v>30.146445</v>
      </c>
      <c r="AH84" s="40">
        <v>133</v>
      </c>
      <c r="AI84" s="40">
        <v>219</v>
      </c>
      <c r="AJ84" s="40">
        <v>1035</v>
      </c>
      <c r="AK84" s="40">
        <v>477.27</v>
      </c>
      <c r="AL84" s="55">
        <f t="shared" ref="AL84:AL115" si="27">(AK84*AJ84*AI84)/10^6</f>
        <v>108.18040454999999</v>
      </c>
      <c r="AM84" s="55">
        <f t="shared" ref="AM84:AM115" si="28">AL84*U84</f>
        <v>75.726283184999986</v>
      </c>
      <c r="AN84" s="49">
        <v>104999.4</v>
      </c>
      <c r="AO84" s="57">
        <f t="shared" ref="AO84:AO115" si="29">AH84*AI84</f>
        <v>29127</v>
      </c>
      <c r="AP84" s="60">
        <f t="shared" ref="AP84:AP115" si="30">U84+AB84</f>
        <v>0.7</v>
      </c>
      <c r="AQ84" s="61">
        <f t="shared" ref="AQ84:AQ115" si="31">AL84*AP84/(AG84+AE84)</f>
        <v>2.511947368421052</v>
      </c>
    </row>
    <row r="85" spans="1:43">
      <c r="A85" s="22" t="s">
        <v>537</v>
      </c>
      <c r="B85" s="22" t="s">
        <v>322</v>
      </c>
      <c r="C85" s="24" t="s">
        <v>354</v>
      </c>
      <c r="D85" s="25">
        <v>1</v>
      </c>
      <c r="E85" s="26" t="s">
        <v>770</v>
      </c>
      <c r="F85" s="20"/>
      <c r="G85" s="27">
        <v>1989</v>
      </c>
      <c r="H85" s="20"/>
      <c r="I85" s="20"/>
      <c r="J85" s="28">
        <v>351</v>
      </c>
      <c r="K85" s="29" t="s">
        <v>172</v>
      </c>
      <c r="L85" s="29" t="s">
        <v>187</v>
      </c>
      <c r="M85" s="28" t="s">
        <v>599</v>
      </c>
      <c r="N85" s="29" t="s">
        <v>188</v>
      </c>
      <c r="O85" s="29" t="s">
        <v>790</v>
      </c>
      <c r="P85" s="37">
        <v>0</v>
      </c>
      <c r="Q85" s="30" t="s">
        <v>25</v>
      </c>
      <c r="R85" s="30" t="s">
        <v>789</v>
      </c>
      <c r="S85" s="28">
        <v>2027</v>
      </c>
      <c r="T85" s="32">
        <v>46660</v>
      </c>
      <c r="U85" s="31">
        <v>0.74</v>
      </c>
      <c r="V85" s="31">
        <v>0.26</v>
      </c>
      <c r="W85" s="36">
        <f t="shared" si="23"/>
        <v>1</v>
      </c>
      <c r="X85" s="31">
        <v>0.05</v>
      </c>
      <c r="Y85" s="31">
        <v>0.05</v>
      </c>
      <c r="Z85" s="31">
        <v>6.8000000000000005E-2</v>
      </c>
      <c r="AA85" s="52">
        <v>0.19800000000000001</v>
      </c>
      <c r="AB85" s="31"/>
      <c r="AC85" s="50">
        <v>122152</v>
      </c>
      <c r="AD85" s="32"/>
      <c r="AE85" s="20">
        <f t="shared" si="24"/>
        <v>0</v>
      </c>
      <c r="AF85" s="52">
        <f t="shared" si="25"/>
        <v>0</v>
      </c>
      <c r="AG85" s="54">
        <f t="shared" si="26"/>
        <v>16.265633999999999</v>
      </c>
      <c r="AH85" s="20">
        <v>133</v>
      </c>
      <c r="AI85" s="20">
        <v>218</v>
      </c>
      <c r="AJ85" s="20">
        <v>561</v>
      </c>
      <c r="AK85" s="20">
        <v>457.14</v>
      </c>
      <c r="AL85" s="54">
        <f t="shared" si="27"/>
        <v>55.907307719999999</v>
      </c>
      <c r="AM85" s="54">
        <f t="shared" si="28"/>
        <v>41.3714077128</v>
      </c>
      <c r="AN85" s="33">
        <v>79999.5</v>
      </c>
      <c r="AO85" s="56">
        <f t="shared" si="29"/>
        <v>28994</v>
      </c>
      <c r="AP85" s="58">
        <f t="shared" si="30"/>
        <v>0.74</v>
      </c>
      <c r="AQ85" s="59">
        <f t="shared" si="31"/>
        <v>2.5434857142857146</v>
      </c>
    </row>
    <row r="86" spans="1:43">
      <c r="A86" s="22" t="s">
        <v>538</v>
      </c>
      <c r="B86" s="22" t="s">
        <v>323</v>
      </c>
      <c r="C86" s="24" t="s">
        <v>353</v>
      </c>
      <c r="D86" s="38">
        <v>1</v>
      </c>
      <c r="E86" s="39" t="s">
        <v>770</v>
      </c>
      <c r="F86" s="40"/>
      <c r="G86" s="41">
        <v>2000</v>
      </c>
      <c r="H86" s="40"/>
      <c r="I86" s="40"/>
      <c r="J86" s="42">
        <v>352</v>
      </c>
      <c r="K86" s="43" t="s">
        <v>172</v>
      </c>
      <c r="L86" s="43" t="s">
        <v>189</v>
      </c>
      <c r="M86" s="42" t="s">
        <v>599</v>
      </c>
      <c r="N86" s="43" t="s">
        <v>48</v>
      </c>
      <c r="O86" s="43" t="s">
        <v>786</v>
      </c>
      <c r="P86" s="44">
        <v>250000</v>
      </c>
      <c r="Q86" s="45" t="s">
        <v>25</v>
      </c>
      <c r="R86" s="45" t="s">
        <v>789</v>
      </c>
      <c r="S86" s="42">
        <v>2027</v>
      </c>
      <c r="T86" s="46">
        <v>46568</v>
      </c>
      <c r="U86" s="47">
        <v>0.7</v>
      </c>
      <c r="V86" s="47">
        <v>0.30000000000000004</v>
      </c>
      <c r="W86" s="48">
        <f t="shared" si="23"/>
        <v>1</v>
      </c>
      <c r="X86" s="47">
        <v>0.05</v>
      </c>
      <c r="Y86" s="47">
        <v>0.05</v>
      </c>
      <c r="Z86" s="47">
        <v>6.8000000000000005E-2</v>
      </c>
      <c r="AA86" s="53">
        <v>0.19800000000000001</v>
      </c>
      <c r="AB86" s="47"/>
      <c r="AC86" s="51">
        <v>310438</v>
      </c>
      <c r="AD86" s="46"/>
      <c r="AE86" s="40">
        <f t="shared" si="24"/>
        <v>0.25</v>
      </c>
      <c r="AF86" s="53">
        <f t="shared" si="25"/>
        <v>1.9716358311571481E-3</v>
      </c>
      <c r="AG86" s="55">
        <f t="shared" si="26"/>
        <v>41.223616</v>
      </c>
      <c r="AH86" s="40">
        <v>133</v>
      </c>
      <c r="AI86" s="40">
        <v>232</v>
      </c>
      <c r="AJ86" s="40">
        <v>1336</v>
      </c>
      <c r="AK86" s="40">
        <v>409.09</v>
      </c>
      <c r="AL86" s="55">
        <f t="shared" si="27"/>
        <v>126.79826367999999</v>
      </c>
      <c r="AM86" s="55">
        <f t="shared" si="28"/>
        <v>88.758784575999982</v>
      </c>
      <c r="AN86" s="49">
        <v>89999.799999999988</v>
      </c>
      <c r="AO86" s="57">
        <f t="shared" si="29"/>
        <v>30856</v>
      </c>
      <c r="AP86" s="60">
        <f t="shared" si="30"/>
        <v>0.7</v>
      </c>
      <c r="AQ86" s="61">
        <f t="shared" si="31"/>
        <v>2.1401264981572861</v>
      </c>
    </row>
    <row r="87" spans="1:43">
      <c r="A87" s="22" t="s">
        <v>539</v>
      </c>
      <c r="B87" s="22" t="s">
        <v>324</v>
      </c>
      <c r="C87" s="24" t="s">
        <v>353</v>
      </c>
      <c r="D87" s="25">
        <v>1</v>
      </c>
      <c r="E87" s="26" t="s">
        <v>770</v>
      </c>
      <c r="F87" s="20"/>
      <c r="G87" s="27">
        <v>2108</v>
      </c>
      <c r="H87" s="20"/>
      <c r="I87" s="20"/>
      <c r="J87" s="28">
        <v>353</v>
      </c>
      <c r="K87" s="29" t="s">
        <v>172</v>
      </c>
      <c r="L87" s="29" t="s">
        <v>189</v>
      </c>
      <c r="M87" s="28" t="s">
        <v>599</v>
      </c>
      <c r="N87" s="29" t="s">
        <v>190</v>
      </c>
      <c r="O87" s="29" t="s">
        <v>786</v>
      </c>
      <c r="P87" s="37">
        <v>250000</v>
      </c>
      <c r="Q87" s="30" t="s">
        <v>25</v>
      </c>
      <c r="R87" s="30" t="s">
        <v>26</v>
      </c>
      <c r="S87" s="28">
        <v>2028</v>
      </c>
      <c r="T87" s="32">
        <v>46934</v>
      </c>
      <c r="U87" s="31">
        <v>0.7</v>
      </c>
      <c r="V87" s="31">
        <v>0.30000000000000004</v>
      </c>
      <c r="W87" s="36">
        <f t="shared" si="23"/>
        <v>1</v>
      </c>
      <c r="X87" s="31">
        <v>0.05</v>
      </c>
      <c r="Y87" s="31">
        <v>0.05</v>
      </c>
      <c r="Z87" s="31">
        <v>6.8000000000000005E-2</v>
      </c>
      <c r="AA87" s="52">
        <v>0.19800000000000001</v>
      </c>
      <c r="AB87" s="31"/>
      <c r="AC87" s="50">
        <f t="shared" ref="AC87:AC92" si="32">AI87*AJ87</f>
        <v>69757.27</v>
      </c>
      <c r="AD87" s="32"/>
      <c r="AE87" s="20">
        <f t="shared" si="24"/>
        <v>0.25</v>
      </c>
      <c r="AF87" s="52">
        <f t="shared" si="25"/>
        <v>8.3345484827202845E-3</v>
      </c>
      <c r="AG87" s="54">
        <f t="shared" si="26"/>
        <v>9.2777169100000005</v>
      </c>
      <c r="AH87" s="20">
        <v>133</v>
      </c>
      <c r="AI87" s="20">
        <v>255.52113553113554</v>
      </c>
      <c r="AJ87" s="20">
        <v>273</v>
      </c>
      <c r="AK87" s="20">
        <v>430</v>
      </c>
      <c r="AL87" s="54">
        <f t="shared" si="27"/>
        <v>29.995626100000003</v>
      </c>
      <c r="AM87" s="54">
        <f t="shared" si="28"/>
        <v>20.996938270000001</v>
      </c>
      <c r="AN87" s="33">
        <v>109874.08827838828</v>
      </c>
      <c r="AO87" s="56">
        <f t="shared" si="29"/>
        <v>33984.311025641029</v>
      </c>
      <c r="AP87" s="58">
        <f t="shared" si="30"/>
        <v>0.7</v>
      </c>
      <c r="AQ87" s="59">
        <f t="shared" si="31"/>
        <v>2.2037743636108935</v>
      </c>
    </row>
    <row r="88" spans="1:43">
      <c r="A88" s="22" t="s">
        <v>540</v>
      </c>
      <c r="B88" s="22" t="s">
        <v>428</v>
      </c>
      <c r="C88" s="24" t="s">
        <v>352</v>
      </c>
      <c r="D88" s="38">
        <v>1</v>
      </c>
      <c r="E88" s="39" t="s">
        <v>770</v>
      </c>
      <c r="F88" s="40"/>
      <c r="G88" s="41">
        <v>2104</v>
      </c>
      <c r="H88" s="40"/>
      <c r="I88" s="40"/>
      <c r="J88" s="42">
        <v>354</v>
      </c>
      <c r="K88" s="43" t="s">
        <v>172</v>
      </c>
      <c r="L88" s="43" t="s">
        <v>191</v>
      </c>
      <c r="M88" s="42" t="s">
        <v>599</v>
      </c>
      <c r="N88" s="43" t="s">
        <v>49</v>
      </c>
      <c r="O88" s="43" t="s">
        <v>786</v>
      </c>
      <c r="P88" s="44">
        <v>1057142.8600000001</v>
      </c>
      <c r="Q88" s="45" t="s">
        <v>25</v>
      </c>
      <c r="R88" s="45" t="s">
        <v>789</v>
      </c>
      <c r="S88" s="42">
        <v>2028</v>
      </c>
      <c r="T88" s="46">
        <v>47026</v>
      </c>
      <c r="U88" s="47">
        <v>0.7</v>
      </c>
      <c r="V88" s="47">
        <v>0.30000000000000004</v>
      </c>
      <c r="W88" s="48">
        <f t="shared" si="23"/>
        <v>1</v>
      </c>
      <c r="X88" s="47">
        <v>0.05</v>
      </c>
      <c r="Y88" s="47">
        <v>9.0000000000000011E-2</v>
      </c>
      <c r="Z88" s="47">
        <v>6.8000000000000005E-2</v>
      </c>
      <c r="AA88" s="53">
        <v>0.19800000000000001</v>
      </c>
      <c r="AB88" s="47"/>
      <c r="AC88" s="51">
        <f t="shared" si="32"/>
        <v>593922</v>
      </c>
      <c r="AD88" s="46"/>
      <c r="AE88" s="40">
        <f t="shared" si="24"/>
        <v>1.0571428600000001</v>
      </c>
      <c r="AF88" s="53">
        <f t="shared" si="25"/>
        <v>0</v>
      </c>
      <c r="AG88" s="55">
        <f t="shared" si="26"/>
        <v>78.991625999999997</v>
      </c>
      <c r="AH88" s="40">
        <v>133</v>
      </c>
      <c r="AI88" s="40">
        <v>237</v>
      </c>
      <c r="AJ88" s="40">
        <v>2506</v>
      </c>
      <c r="AK88" s="40">
        <v>0</v>
      </c>
      <c r="AL88" s="55">
        <f t="shared" si="27"/>
        <v>0</v>
      </c>
      <c r="AM88" s="55">
        <f t="shared" si="28"/>
        <v>0</v>
      </c>
      <c r="AN88" s="49">
        <v>0</v>
      </c>
      <c r="AO88" s="57">
        <f t="shared" si="29"/>
        <v>31521</v>
      </c>
      <c r="AP88" s="60">
        <f t="shared" si="30"/>
        <v>0.7</v>
      </c>
      <c r="AQ88" s="61">
        <f t="shared" si="31"/>
        <v>0</v>
      </c>
    </row>
    <row r="89" spans="1:43">
      <c r="A89" s="34" t="s">
        <v>576</v>
      </c>
      <c r="B89" s="22" t="s">
        <v>564</v>
      </c>
      <c r="C89" s="22"/>
      <c r="D89" s="25">
        <v>1</v>
      </c>
      <c r="E89" s="26" t="s">
        <v>770</v>
      </c>
      <c r="F89" s="20"/>
      <c r="G89" s="27">
        <v>2588</v>
      </c>
      <c r="H89" s="20"/>
      <c r="I89" s="20"/>
      <c r="J89" s="28"/>
      <c r="K89" s="29" t="s">
        <v>172</v>
      </c>
      <c r="L89" s="29" t="s">
        <v>180</v>
      </c>
      <c r="M89" s="28" t="s">
        <v>598</v>
      </c>
      <c r="N89" s="29" t="s">
        <v>564</v>
      </c>
      <c r="O89" s="29" t="s">
        <v>786</v>
      </c>
      <c r="P89" s="37">
        <v>10682.93</v>
      </c>
      <c r="Q89" s="30" t="s">
        <v>25</v>
      </c>
      <c r="R89" s="30" t="s">
        <v>26</v>
      </c>
      <c r="S89" s="28"/>
      <c r="T89" s="32"/>
      <c r="U89" s="31">
        <v>0.7</v>
      </c>
      <c r="V89" s="31">
        <v>0.3</v>
      </c>
      <c r="W89" s="36">
        <f t="shared" si="23"/>
        <v>1</v>
      </c>
      <c r="X89" s="31"/>
      <c r="Y89" s="31"/>
      <c r="Z89" s="31"/>
      <c r="AA89" s="52">
        <v>0.19800000000000001</v>
      </c>
      <c r="AB89" s="31"/>
      <c r="AC89" s="50">
        <f t="shared" si="32"/>
        <v>561000</v>
      </c>
      <c r="AD89" s="32"/>
      <c r="AE89" s="20">
        <f t="shared" si="24"/>
        <v>1.068293E-2</v>
      </c>
      <c r="AF89" s="52">
        <f t="shared" si="25"/>
        <v>4.7606639928698754E-5</v>
      </c>
      <c r="AG89" s="54">
        <f t="shared" si="26"/>
        <v>74.613</v>
      </c>
      <c r="AH89" s="20">
        <v>133</v>
      </c>
      <c r="AI89" s="20">
        <v>250</v>
      </c>
      <c r="AJ89" s="20">
        <v>2244</v>
      </c>
      <c r="AK89" s="20">
        <v>400</v>
      </c>
      <c r="AL89" s="54">
        <f t="shared" si="27"/>
        <v>224.4</v>
      </c>
      <c r="AM89" s="54">
        <f t="shared" si="28"/>
        <v>157.07999999999998</v>
      </c>
      <c r="AN89" s="33">
        <v>100000</v>
      </c>
      <c r="AO89" s="56">
        <f t="shared" si="29"/>
        <v>33250</v>
      </c>
      <c r="AP89" s="58">
        <f t="shared" si="30"/>
        <v>0.7</v>
      </c>
      <c r="AQ89" s="59">
        <f t="shared" si="31"/>
        <v>2.1049617739631974</v>
      </c>
    </row>
    <row r="90" spans="1:43">
      <c r="A90" s="34" t="s">
        <v>578</v>
      </c>
      <c r="B90" s="22" t="s">
        <v>566</v>
      </c>
      <c r="C90" s="22"/>
      <c r="D90" s="38">
        <v>1</v>
      </c>
      <c r="E90" s="39" t="s">
        <v>770</v>
      </c>
      <c r="F90" s="40"/>
      <c r="G90" s="41">
        <v>2101</v>
      </c>
      <c r="H90" s="40"/>
      <c r="I90" s="40"/>
      <c r="J90" s="42"/>
      <c r="K90" s="43" t="s">
        <v>172</v>
      </c>
      <c r="L90" s="43" t="s">
        <v>181</v>
      </c>
      <c r="M90" s="42" t="s">
        <v>598</v>
      </c>
      <c r="N90" s="43" t="s">
        <v>24</v>
      </c>
      <c r="O90" s="43" t="s">
        <v>790</v>
      </c>
      <c r="P90" s="44">
        <v>0</v>
      </c>
      <c r="Q90" s="45" t="s">
        <v>78</v>
      </c>
      <c r="R90" s="45" t="s">
        <v>26</v>
      </c>
      <c r="S90" s="42"/>
      <c r="T90" s="46"/>
      <c r="U90" s="47">
        <v>0.7</v>
      </c>
      <c r="V90" s="47">
        <v>0.3</v>
      </c>
      <c r="W90" s="48">
        <f t="shared" si="23"/>
        <v>1</v>
      </c>
      <c r="X90" s="47"/>
      <c r="Y90" s="47"/>
      <c r="Z90" s="47"/>
      <c r="AA90" s="53">
        <v>0.19800000000000001</v>
      </c>
      <c r="AB90" s="47"/>
      <c r="AC90" s="51">
        <f t="shared" si="32"/>
        <v>139700</v>
      </c>
      <c r="AD90" s="46"/>
      <c r="AE90" s="40">
        <f t="shared" si="24"/>
        <v>0</v>
      </c>
      <c r="AF90" s="53">
        <f t="shared" si="25"/>
        <v>0</v>
      </c>
      <c r="AG90" s="55">
        <f t="shared" si="26"/>
        <v>41.91</v>
      </c>
      <c r="AH90" s="40">
        <v>300</v>
      </c>
      <c r="AI90" s="40">
        <v>220</v>
      </c>
      <c r="AJ90" s="40">
        <v>635</v>
      </c>
      <c r="AK90" s="40">
        <v>1500</v>
      </c>
      <c r="AL90" s="55">
        <f t="shared" si="27"/>
        <v>209.55</v>
      </c>
      <c r="AM90" s="55">
        <f t="shared" si="28"/>
        <v>146.685</v>
      </c>
      <c r="AN90" s="49">
        <v>330000</v>
      </c>
      <c r="AO90" s="57">
        <f t="shared" si="29"/>
        <v>66000</v>
      </c>
      <c r="AP90" s="60">
        <f t="shared" si="30"/>
        <v>0.7</v>
      </c>
      <c r="AQ90" s="61">
        <f t="shared" si="31"/>
        <v>3.5000000000000004</v>
      </c>
    </row>
    <row r="91" spans="1:43">
      <c r="A91" s="34" t="s">
        <v>579</v>
      </c>
      <c r="B91" s="22" t="s">
        <v>570</v>
      </c>
      <c r="C91" s="22"/>
      <c r="D91" s="25">
        <v>1</v>
      </c>
      <c r="E91" s="26" t="s">
        <v>769</v>
      </c>
      <c r="F91" s="20"/>
      <c r="G91" s="27">
        <v>2645</v>
      </c>
      <c r="H91" s="20"/>
      <c r="I91" s="20"/>
      <c r="J91" s="28"/>
      <c r="K91" s="29" t="s">
        <v>172</v>
      </c>
      <c r="L91" s="29" t="s">
        <v>571</v>
      </c>
      <c r="M91" s="28" t="s">
        <v>598</v>
      </c>
      <c r="N91" s="29" t="s">
        <v>24</v>
      </c>
      <c r="O91" s="29" t="s">
        <v>790</v>
      </c>
      <c r="P91" s="37">
        <v>0</v>
      </c>
      <c r="Q91" s="30" t="s">
        <v>25</v>
      </c>
      <c r="R91" s="30" t="s">
        <v>26</v>
      </c>
      <c r="S91" s="28"/>
      <c r="T91" s="32"/>
      <c r="U91" s="31">
        <v>0.8</v>
      </c>
      <c r="V91" s="31">
        <v>0.2</v>
      </c>
      <c r="W91" s="36">
        <f t="shared" si="23"/>
        <v>1</v>
      </c>
      <c r="X91" s="31"/>
      <c r="Y91" s="31"/>
      <c r="Z91" s="31"/>
      <c r="AA91" s="52">
        <v>0.19800000000000001</v>
      </c>
      <c r="AB91" s="31"/>
      <c r="AC91" s="50">
        <f t="shared" si="32"/>
        <v>1500200</v>
      </c>
      <c r="AD91" s="32"/>
      <c r="AE91" s="20">
        <f t="shared" si="24"/>
        <v>0</v>
      </c>
      <c r="AF91" s="52">
        <f t="shared" si="25"/>
        <v>0</v>
      </c>
      <c r="AG91" s="54">
        <f t="shared" si="26"/>
        <v>199.5266</v>
      </c>
      <c r="AH91" s="20">
        <v>133</v>
      </c>
      <c r="AI91" s="20">
        <v>1300</v>
      </c>
      <c r="AJ91" s="20">
        <v>1154</v>
      </c>
      <c r="AK91" s="20">
        <v>1400</v>
      </c>
      <c r="AL91" s="54">
        <f t="shared" si="27"/>
        <v>2100.2800000000002</v>
      </c>
      <c r="AM91" s="54">
        <f t="shared" si="28"/>
        <v>1680.2240000000002</v>
      </c>
      <c r="AN91" s="33">
        <v>1820000</v>
      </c>
      <c r="AO91" s="56">
        <f t="shared" si="29"/>
        <v>172900</v>
      </c>
      <c r="AP91" s="58">
        <f t="shared" si="30"/>
        <v>0.8</v>
      </c>
      <c r="AQ91" s="59">
        <f t="shared" si="31"/>
        <v>8.4210526315789487</v>
      </c>
    </row>
    <row r="92" spans="1:43">
      <c r="A92" s="34" t="s">
        <v>580</v>
      </c>
      <c r="B92" s="22" t="s">
        <v>572</v>
      </c>
      <c r="C92" s="22"/>
      <c r="D92" s="38">
        <v>1</v>
      </c>
      <c r="E92" s="39" t="s">
        <v>769</v>
      </c>
      <c r="F92" s="40"/>
      <c r="G92" s="41">
        <v>1890</v>
      </c>
      <c r="H92" s="40"/>
      <c r="I92" s="40"/>
      <c r="J92" s="42"/>
      <c r="K92" s="43" t="s">
        <v>172</v>
      </c>
      <c r="L92" s="43" t="s">
        <v>184</v>
      </c>
      <c r="M92" s="42" t="s">
        <v>598</v>
      </c>
      <c r="N92" s="43" t="s">
        <v>24</v>
      </c>
      <c r="O92" s="43" t="s">
        <v>790</v>
      </c>
      <c r="P92" s="44">
        <v>0</v>
      </c>
      <c r="Q92" s="45" t="s">
        <v>25</v>
      </c>
      <c r="R92" s="45" t="s">
        <v>26</v>
      </c>
      <c r="S92" s="42"/>
      <c r="T92" s="46"/>
      <c r="U92" s="47">
        <v>0.72</v>
      </c>
      <c r="V92" s="47">
        <v>0.28000000000000003</v>
      </c>
      <c r="W92" s="48">
        <f t="shared" si="23"/>
        <v>1</v>
      </c>
      <c r="X92" s="47"/>
      <c r="Y92" s="47"/>
      <c r="Z92" s="47"/>
      <c r="AA92" s="53">
        <v>0.19800000000000001</v>
      </c>
      <c r="AB92" s="47"/>
      <c r="AC92" s="51">
        <f t="shared" si="32"/>
        <v>2007600</v>
      </c>
      <c r="AD92" s="46"/>
      <c r="AE92" s="40">
        <f t="shared" si="24"/>
        <v>0</v>
      </c>
      <c r="AF92" s="53">
        <f t="shared" si="25"/>
        <v>0</v>
      </c>
      <c r="AG92" s="55">
        <f t="shared" si="26"/>
        <v>267.01080000000002</v>
      </c>
      <c r="AH92" s="40">
        <v>133</v>
      </c>
      <c r="AI92" s="40">
        <v>200</v>
      </c>
      <c r="AJ92" s="40">
        <v>10038</v>
      </c>
      <c r="AK92" s="40">
        <v>550</v>
      </c>
      <c r="AL92" s="55">
        <f t="shared" si="27"/>
        <v>1104.18</v>
      </c>
      <c r="AM92" s="55">
        <f t="shared" si="28"/>
        <v>795.00959999999998</v>
      </c>
      <c r="AN92" s="49">
        <v>110000</v>
      </c>
      <c r="AO92" s="57">
        <f t="shared" si="29"/>
        <v>26600</v>
      </c>
      <c r="AP92" s="60">
        <f t="shared" si="30"/>
        <v>0.72</v>
      </c>
      <c r="AQ92" s="61">
        <f t="shared" si="31"/>
        <v>2.977443609022556</v>
      </c>
    </row>
    <row r="93" spans="1:43">
      <c r="A93" s="22" t="s">
        <v>773</v>
      </c>
      <c r="B93" s="22" t="s">
        <v>767</v>
      </c>
      <c r="C93" s="22"/>
      <c r="D93" s="25">
        <v>1</v>
      </c>
      <c r="E93" s="26" t="s">
        <v>769</v>
      </c>
      <c r="F93" s="20"/>
      <c r="G93" s="27">
        <v>2767</v>
      </c>
      <c r="H93" s="20"/>
      <c r="I93" s="20"/>
      <c r="J93" s="28"/>
      <c r="K93" s="29" t="s">
        <v>172</v>
      </c>
      <c r="L93" s="29" t="s">
        <v>771</v>
      </c>
      <c r="M93" s="28" t="s">
        <v>598</v>
      </c>
      <c r="N93" s="29" t="s">
        <v>24</v>
      </c>
      <c r="O93" s="29" t="s">
        <v>790</v>
      </c>
      <c r="P93" s="37">
        <v>0</v>
      </c>
      <c r="Q93" s="30" t="s">
        <v>25</v>
      </c>
      <c r="R93" s="30" t="s">
        <v>26</v>
      </c>
      <c r="S93" s="28" t="s">
        <v>26</v>
      </c>
      <c r="T93" s="32"/>
      <c r="U93" s="31">
        <v>0.75</v>
      </c>
      <c r="V93" s="31">
        <v>0.25</v>
      </c>
      <c r="W93" s="36">
        <f t="shared" si="23"/>
        <v>1</v>
      </c>
      <c r="X93" s="31"/>
      <c r="Y93" s="31"/>
      <c r="Z93" s="31"/>
      <c r="AA93" s="52">
        <v>0.19800000000000001</v>
      </c>
      <c r="AB93" s="31"/>
      <c r="AC93" s="50">
        <v>780000</v>
      </c>
      <c r="AD93" s="32"/>
      <c r="AE93" s="20">
        <f t="shared" si="24"/>
        <v>0</v>
      </c>
      <c r="AF93" s="52">
        <f t="shared" si="25"/>
        <v>0</v>
      </c>
      <c r="AG93" s="54">
        <f t="shared" si="26"/>
        <v>57.057000000000002</v>
      </c>
      <c r="AH93" s="20">
        <v>133</v>
      </c>
      <c r="AI93" s="20">
        <v>200</v>
      </c>
      <c r="AJ93" s="20">
        <v>2145</v>
      </c>
      <c r="AK93" s="20">
        <v>550</v>
      </c>
      <c r="AL93" s="54">
        <f t="shared" si="27"/>
        <v>235.95</v>
      </c>
      <c r="AM93" s="54">
        <f t="shared" si="28"/>
        <v>176.96249999999998</v>
      </c>
      <c r="AN93" s="33">
        <v>110000</v>
      </c>
      <c r="AO93" s="56">
        <f t="shared" si="29"/>
        <v>26600</v>
      </c>
      <c r="AP93" s="58">
        <f t="shared" si="30"/>
        <v>0.75</v>
      </c>
      <c r="AQ93" s="59">
        <f t="shared" si="31"/>
        <v>3.1015037593984958</v>
      </c>
    </row>
    <row r="94" spans="1:43">
      <c r="A94" s="22" t="s">
        <v>774</v>
      </c>
      <c r="B94" s="22" t="s">
        <v>772</v>
      </c>
      <c r="C94" s="22"/>
      <c r="D94" s="38">
        <v>1</v>
      </c>
      <c r="E94" s="39" t="s">
        <v>769</v>
      </c>
      <c r="F94" s="40"/>
      <c r="G94" s="41">
        <v>2726</v>
      </c>
      <c r="H94" s="40"/>
      <c r="I94" s="40"/>
      <c r="J94" s="42"/>
      <c r="K94" s="43" t="s">
        <v>116</v>
      </c>
      <c r="L94" s="43" t="s">
        <v>120</v>
      </c>
      <c r="M94" s="42" t="s">
        <v>594</v>
      </c>
      <c r="N94" s="43" t="s">
        <v>24</v>
      </c>
      <c r="O94" s="43" t="s">
        <v>790</v>
      </c>
      <c r="P94" s="44">
        <v>0</v>
      </c>
      <c r="Q94" s="45" t="s">
        <v>25</v>
      </c>
      <c r="R94" s="45" t="s">
        <v>26</v>
      </c>
      <c r="S94" s="42" t="s">
        <v>26</v>
      </c>
      <c r="T94" s="46"/>
      <c r="U94" s="47">
        <v>0.67</v>
      </c>
      <c r="V94" s="47">
        <v>0.33</v>
      </c>
      <c r="W94" s="48">
        <f t="shared" si="23"/>
        <v>1</v>
      </c>
      <c r="X94" s="47"/>
      <c r="Y94" s="47"/>
      <c r="Z94" s="47"/>
      <c r="AA94" s="53">
        <v>0.19800000000000001</v>
      </c>
      <c r="AB94" s="47"/>
      <c r="AC94" s="51">
        <v>444727</v>
      </c>
      <c r="AD94" s="46"/>
      <c r="AE94" s="40">
        <f t="shared" si="24"/>
        <v>0</v>
      </c>
      <c r="AF94" s="53">
        <f t="shared" si="25"/>
        <v>0</v>
      </c>
      <c r="AG94" s="55">
        <f t="shared" si="26"/>
        <v>0</v>
      </c>
      <c r="AH94" s="40"/>
      <c r="AI94" s="40">
        <v>250</v>
      </c>
      <c r="AJ94" s="40">
        <v>720</v>
      </c>
      <c r="AK94" s="40">
        <v>700</v>
      </c>
      <c r="AL94" s="55">
        <f t="shared" si="27"/>
        <v>126</v>
      </c>
      <c r="AM94" s="55">
        <f t="shared" si="28"/>
        <v>84.42</v>
      </c>
      <c r="AN94" s="49">
        <v>175000</v>
      </c>
      <c r="AO94" s="57">
        <f t="shared" si="29"/>
        <v>0</v>
      </c>
      <c r="AP94" s="60">
        <f t="shared" si="30"/>
        <v>0.67</v>
      </c>
      <c r="AQ94" s="61" t="e">
        <f t="shared" si="31"/>
        <v>#DIV/0!</v>
      </c>
    </row>
    <row r="95" spans="1:43">
      <c r="A95" s="22" t="s">
        <v>491</v>
      </c>
      <c r="B95" s="22" t="s">
        <v>293</v>
      </c>
      <c r="C95" s="24" t="s">
        <v>386</v>
      </c>
      <c r="D95" s="25">
        <v>1</v>
      </c>
      <c r="E95" s="26" t="s">
        <v>770</v>
      </c>
      <c r="F95" s="20"/>
      <c r="G95" s="27" t="s">
        <v>783</v>
      </c>
      <c r="H95" s="20"/>
      <c r="I95" s="20"/>
      <c r="J95" s="28">
        <v>264</v>
      </c>
      <c r="K95" s="29" t="s">
        <v>116</v>
      </c>
      <c r="L95" s="29" t="s">
        <v>150</v>
      </c>
      <c r="M95" s="28" t="s">
        <v>605</v>
      </c>
      <c r="N95" s="29" t="s">
        <v>24</v>
      </c>
      <c r="O95" s="29" t="s">
        <v>790</v>
      </c>
      <c r="P95" s="37">
        <v>0</v>
      </c>
      <c r="Q95" s="30" t="s">
        <v>25</v>
      </c>
      <c r="R95" s="30" t="s">
        <v>26</v>
      </c>
      <c r="S95" s="28">
        <v>2032</v>
      </c>
      <c r="T95" s="32">
        <v>48395</v>
      </c>
      <c r="U95" s="31">
        <v>0.7</v>
      </c>
      <c r="V95" s="31">
        <v>0.30000000000000004</v>
      </c>
      <c r="W95" s="36">
        <f t="shared" si="23"/>
        <v>1</v>
      </c>
      <c r="X95" s="31">
        <v>0.05</v>
      </c>
      <c r="Y95" s="31">
        <v>0</v>
      </c>
      <c r="Z95" s="31">
        <v>6.8000000000000005E-2</v>
      </c>
      <c r="AA95" s="52">
        <v>0.19800000000000001</v>
      </c>
      <c r="AB95" s="31"/>
      <c r="AC95" s="50">
        <f t="shared" ref="AC95:AC126" si="33">AI95*AJ95</f>
        <v>167923</v>
      </c>
      <c r="AD95" s="32"/>
      <c r="AE95" s="20">
        <f t="shared" si="24"/>
        <v>0</v>
      </c>
      <c r="AF95" s="52">
        <f t="shared" si="25"/>
        <v>0</v>
      </c>
      <c r="AG95" s="54">
        <f t="shared" si="26"/>
        <v>27.371448999999998</v>
      </c>
      <c r="AH95" s="20">
        <v>163</v>
      </c>
      <c r="AI95" s="20">
        <v>203.29661016949152</v>
      </c>
      <c r="AJ95" s="20">
        <v>826</v>
      </c>
      <c r="AK95" s="20">
        <v>600</v>
      </c>
      <c r="AL95" s="54">
        <f t="shared" si="27"/>
        <v>100.7538</v>
      </c>
      <c r="AM95" s="54">
        <f t="shared" si="28"/>
        <v>70.527659999999997</v>
      </c>
      <c r="AN95" s="33">
        <v>121977.96610169491</v>
      </c>
      <c r="AO95" s="56">
        <f t="shared" si="29"/>
        <v>33137.347457627118</v>
      </c>
      <c r="AP95" s="58">
        <f t="shared" si="30"/>
        <v>0.7</v>
      </c>
      <c r="AQ95" s="59">
        <f t="shared" si="31"/>
        <v>2.5766871165644174</v>
      </c>
    </row>
    <row r="96" spans="1:43">
      <c r="A96" s="22" t="s">
        <v>479</v>
      </c>
      <c r="B96" s="22" t="s">
        <v>655</v>
      </c>
      <c r="C96" s="24" t="s">
        <v>395</v>
      </c>
      <c r="D96" s="38">
        <v>1</v>
      </c>
      <c r="E96" s="39" t="s">
        <v>770</v>
      </c>
      <c r="F96" s="40"/>
      <c r="G96" s="41">
        <v>2277</v>
      </c>
      <c r="H96" s="40"/>
      <c r="I96" s="40"/>
      <c r="J96" s="42">
        <v>240</v>
      </c>
      <c r="K96" s="43" t="s">
        <v>116</v>
      </c>
      <c r="L96" s="43" t="s">
        <v>606</v>
      </c>
      <c r="M96" s="42" t="s">
        <v>605</v>
      </c>
      <c r="N96" s="43" t="s">
        <v>131</v>
      </c>
      <c r="O96" s="43" t="s">
        <v>790</v>
      </c>
      <c r="P96" s="44">
        <v>0</v>
      </c>
      <c r="Q96" s="45" t="s">
        <v>25</v>
      </c>
      <c r="R96" s="45" t="s">
        <v>789</v>
      </c>
      <c r="S96" s="42">
        <v>2029</v>
      </c>
      <c r="T96" s="46">
        <v>47482</v>
      </c>
      <c r="U96" s="47">
        <v>0.55000000000000004</v>
      </c>
      <c r="V96" s="47">
        <v>0.40001999999999993</v>
      </c>
      <c r="W96" s="48">
        <f t="shared" si="23"/>
        <v>0.95001999999999998</v>
      </c>
      <c r="X96" s="47">
        <v>0.05</v>
      </c>
      <c r="Y96" s="47">
        <v>9.0000000000000011E-2</v>
      </c>
      <c r="Z96" s="47">
        <v>6.8000000000000005E-2</v>
      </c>
      <c r="AA96" s="53">
        <v>0.19800000000000001</v>
      </c>
      <c r="AB96" s="47">
        <v>4.9980000000000024E-2</v>
      </c>
      <c r="AC96" s="51">
        <f t="shared" si="33"/>
        <v>218006.26</v>
      </c>
      <c r="AD96" s="46"/>
      <c r="AE96" s="40">
        <f t="shared" si="24"/>
        <v>0</v>
      </c>
      <c r="AF96" s="53">
        <f t="shared" si="25"/>
        <v>0</v>
      </c>
      <c r="AG96" s="55">
        <f t="shared" si="26"/>
        <v>35.535020380000006</v>
      </c>
      <c r="AH96" s="40">
        <v>163</v>
      </c>
      <c r="AI96" s="40">
        <v>227.3266527632951</v>
      </c>
      <c r="AJ96" s="40">
        <v>959</v>
      </c>
      <c r="AK96" s="40">
        <v>550</v>
      </c>
      <c r="AL96" s="55">
        <f t="shared" si="27"/>
        <v>119.903443</v>
      </c>
      <c r="AM96" s="55">
        <f t="shared" si="28"/>
        <v>65.946893650000007</v>
      </c>
      <c r="AN96" s="49">
        <v>125029.6590198123</v>
      </c>
      <c r="AO96" s="57">
        <f t="shared" si="29"/>
        <v>37054.244400417105</v>
      </c>
      <c r="AP96" s="60">
        <f t="shared" si="30"/>
        <v>0.59998000000000007</v>
      </c>
      <c r="AQ96" s="61">
        <f t="shared" si="31"/>
        <v>2.0244723926380366</v>
      </c>
    </row>
    <row r="97" spans="1:43">
      <c r="A97" s="22" t="s">
        <v>480</v>
      </c>
      <c r="B97" s="22" t="s">
        <v>656</v>
      </c>
      <c r="C97" s="24" t="s">
        <v>395</v>
      </c>
      <c r="D97" s="25">
        <v>1</v>
      </c>
      <c r="E97" s="26" t="s">
        <v>770</v>
      </c>
      <c r="F97" s="20"/>
      <c r="G97" s="27">
        <v>2277</v>
      </c>
      <c r="H97" s="20"/>
      <c r="I97" s="20"/>
      <c r="J97" s="28">
        <v>241</v>
      </c>
      <c r="K97" s="29" t="s">
        <v>116</v>
      </c>
      <c r="L97" s="29" t="s">
        <v>606</v>
      </c>
      <c r="M97" s="28" t="s">
        <v>605</v>
      </c>
      <c r="N97" s="29" t="s">
        <v>48</v>
      </c>
      <c r="O97" s="29" t="s">
        <v>790</v>
      </c>
      <c r="P97" s="37">
        <v>0</v>
      </c>
      <c r="Q97" s="30" t="s">
        <v>25</v>
      </c>
      <c r="R97" s="30" t="s">
        <v>789</v>
      </c>
      <c r="S97" s="28">
        <v>2031</v>
      </c>
      <c r="T97" s="32">
        <v>48212</v>
      </c>
      <c r="U97" s="31">
        <v>0.55000000000000004</v>
      </c>
      <c r="V97" s="31">
        <v>0.40001999999999993</v>
      </c>
      <c r="W97" s="36">
        <f t="shared" si="23"/>
        <v>0.95001999999999998</v>
      </c>
      <c r="X97" s="31">
        <v>0.05</v>
      </c>
      <c r="Y97" s="31">
        <v>9.0000000000000011E-2</v>
      </c>
      <c r="Z97" s="31">
        <v>6.8000000000000005E-2</v>
      </c>
      <c r="AA97" s="52">
        <v>0.19800000000000001</v>
      </c>
      <c r="AB97" s="31">
        <v>4.9980000000000024E-2</v>
      </c>
      <c r="AC97" s="50">
        <f t="shared" si="33"/>
        <v>268822.81</v>
      </c>
      <c r="AD97" s="32"/>
      <c r="AE97" s="20">
        <f t="shared" si="24"/>
        <v>0</v>
      </c>
      <c r="AF97" s="52">
        <f t="shared" si="25"/>
        <v>0</v>
      </c>
      <c r="AG97" s="54">
        <f t="shared" si="26"/>
        <v>43.818118030000001</v>
      </c>
      <c r="AH97" s="20">
        <v>163</v>
      </c>
      <c r="AI97" s="20">
        <v>218.73296175752645</v>
      </c>
      <c r="AJ97" s="20">
        <v>1229</v>
      </c>
      <c r="AK97" s="20">
        <v>550</v>
      </c>
      <c r="AL97" s="54">
        <f t="shared" si="27"/>
        <v>147.85254549999999</v>
      </c>
      <c r="AM97" s="54">
        <f t="shared" si="28"/>
        <v>81.318900025000005</v>
      </c>
      <c r="AN97" s="33">
        <v>120303.12896663955</v>
      </c>
      <c r="AO97" s="56">
        <f t="shared" si="29"/>
        <v>35653.472766476814</v>
      </c>
      <c r="AP97" s="58">
        <f t="shared" si="30"/>
        <v>0.59998000000000007</v>
      </c>
      <c r="AQ97" s="59">
        <f t="shared" si="31"/>
        <v>2.024472392638037</v>
      </c>
    </row>
    <row r="98" spans="1:43">
      <c r="A98" s="22" t="s">
        <v>481</v>
      </c>
      <c r="B98" s="22" t="s">
        <v>657</v>
      </c>
      <c r="C98" s="24" t="s">
        <v>394</v>
      </c>
      <c r="D98" s="38">
        <v>1</v>
      </c>
      <c r="E98" s="39" t="s">
        <v>770</v>
      </c>
      <c r="F98" s="40"/>
      <c r="G98" s="41">
        <v>2277</v>
      </c>
      <c r="H98" s="40"/>
      <c r="I98" s="40"/>
      <c r="J98" s="42">
        <v>242</v>
      </c>
      <c r="K98" s="43" t="s">
        <v>116</v>
      </c>
      <c r="L98" s="43" t="s">
        <v>133</v>
      </c>
      <c r="M98" s="42" t="s">
        <v>605</v>
      </c>
      <c r="N98" s="43" t="s">
        <v>134</v>
      </c>
      <c r="O98" s="43" t="s">
        <v>790</v>
      </c>
      <c r="P98" s="44">
        <v>0</v>
      </c>
      <c r="Q98" s="45" t="s">
        <v>25</v>
      </c>
      <c r="R98" s="45" t="s">
        <v>26</v>
      </c>
      <c r="S98" s="42">
        <v>2033</v>
      </c>
      <c r="T98" s="46">
        <v>48943</v>
      </c>
      <c r="U98" s="47">
        <v>0.55000000000000004</v>
      </c>
      <c r="V98" s="47">
        <v>0.40001999999999993</v>
      </c>
      <c r="W98" s="48">
        <f t="shared" si="23"/>
        <v>0.95001999999999998</v>
      </c>
      <c r="X98" s="47">
        <v>0.05</v>
      </c>
      <c r="Y98" s="47">
        <v>9.0000000000000011E-2</v>
      </c>
      <c r="Z98" s="47">
        <v>6.8000000000000005E-2</v>
      </c>
      <c r="AA98" s="53">
        <v>0.19800000000000001</v>
      </c>
      <c r="AB98" s="47">
        <v>4.9980000000000024E-2</v>
      </c>
      <c r="AC98" s="51">
        <f t="shared" si="33"/>
        <v>315000</v>
      </c>
      <c r="AD98" s="46"/>
      <c r="AE98" s="40">
        <f t="shared" si="24"/>
        <v>0</v>
      </c>
      <c r="AF98" s="53">
        <f t="shared" si="25"/>
        <v>0</v>
      </c>
      <c r="AG98" s="55">
        <f t="shared" si="26"/>
        <v>51.344999999999999</v>
      </c>
      <c r="AH98" s="40">
        <v>163</v>
      </c>
      <c r="AI98" s="40">
        <v>210</v>
      </c>
      <c r="AJ98" s="40">
        <v>1500</v>
      </c>
      <c r="AK98" s="40">
        <v>550</v>
      </c>
      <c r="AL98" s="55">
        <f t="shared" si="27"/>
        <v>173.25</v>
      </c>
      <c r="AM98" s="55">
        <f t="shared" si="28"/>
        <v>95.287500000000009</v>
      </c>
      <c r="AN98" s="49">
        <v>115500</v>
      </c>
      <c r="AO98" s="57">
        <f t="shared" si="29"/>
        <v>34230</v>
      </c>
      <c r="AP98" s="60">
        <f t="shared" si="30"/>
        <v>0.59998000000000007</v>
      </c>
      <c r="AQ98" s="61">
        <f t="shared" si="31"/>
        <v>2.024472392638037</v>
      </c>
    </row>
    <row r="99" spans="1:43">
      <c r="A99" s="22" t="s">
        <v>481</v>
      </c>
      <c r="B99" s="22" t="s">
        <v>658</v>
      </c>
      <c r="C99" s="24" t="s">
        <v>394</v>
      </c>
      <c r="D99" s="25">
        <v>1</v>
      </c>
      <c r="E99" s="26" t="s">
        <v>770</v>
      </c>
      <c r="F99" s="20"/>
      <c r="G99" s="27">
        <v>2277</v>
      </c>
      <c r="H99" s="20"/>
      <c r="I99" s="20"/>
      <c r="J99" s="28">
        <v>243</v>
      </c>
      <c r="K99" s="29" t="s">
        <v>116</v>
      </c>
      <c r="L99" s="29" t="s">
        <v>133</v>
      </c>
      <c r="M99" s="28" t="s">
        <v>605</v>
      </c>
      <c r="N99" s="29" t="s">
        <v>135</v>
      </c>
      <c r="O99" s="29" t="s">
        <v>790</v>
      </c>
      <c r="P99" s="37">
        <v>0</v>
      </c>
      <c r="Q99" s="30" t="s">
        <v>25</v>
      </c>
      <c r="R99" s="30" t="s">
        <v>26</v>
      </c>
      <c r="S99" s="28">
        <v>2035</v>
      </c>
      <c r="T99" s="32">
        <v>49673</v>
      </c>
      <c r="U99" s="31">
        <v>0.55000000000000004</v>
      </c>
      <c r="V99" s="31">
        <v>0.40001999999999993</v>
      </c>
      <c r="W99" s="36">
        <f t="shared" si="23"/>
        <v>0.95001999999999998</v>
      </c>
      <c r="X99" s="31">
        <v>0.05</v>
      </c>
      <c r="Y99" s="31">
        <v>9.0000000000000011E-2</v>
      </c>
      <c r="Z99" s="31">
        <v>6.8000000000000005E-2</v>
      </c>
      <c r="AA99" s="52">
        <v>0.19800000000000001</v>
      </c>
      <c r="AB99" s="31">
        <v>4.9980000000000024E-2</v>
      </c>
      <c r="AC99" s="50">
        <f t="shared" si="33"/>
        <v>315000</v>
      </c>
      <c r="AD99" s="32"/>
      <c r="AE99" s="20">
        <f t="shared" si="24"/>
        <v>0</v>
      </c>
      <c r="AF99" s="52">
        <f t="shared" si="25"/>
        <v>0</v>
      </c>
      <c r="AG99" s="54">
        <f t="shared" si="26"/>
        <v>51.344999999999999</v>
      </c>
      <c r="AH99" s="20">
        <v>163</v>
      </c>
      <c r="AI99" s="20">
        <v>210</v>
      </c>
      <c r="AJ99" s="20">
        <v>1500</v>
      </c>
      <c r="AK99" s="20">
        <v>550</v>
      </c>
      <c r="AL99" s="54">
        <f t="shared" si="27"/>
        <v>173.25</v>
      </c>
      <c r="AM99" s="54">
        <f t="shared" si="28"/>
        <v>95.287500000000009</v>
      </c>
      <c r="AN99" s="33">
        <v>115500</v>
      </c>
      <c r="AO99" s="56">
        <f t="shared" si="29"/>
        <v>34230</v>
      </c>
      <c r="AP99" s="58">
        <f t="shared" si="30"/>
        <v>0.59998000000000007</v>
      </c>
      <c r="AQ99" s="59">
        <f t="shared" si="31"/>
        <v>2.024472392638037</v>
      </c>
    </row>
    <row r="100" spans="1:43">
      <c r="A100" s="22" t="s">
        <v>481</v>
      </c>
      <c r="B100" s="22" t="s">
        <v>659</v>
      </c>
      <c r="C100" s="24" t="s">
        <v>394</v>
      </c>
      <c r="D100" s="38">
        <v>1</v>
      </c>
      <c r="E100" s="39" t="s">
        <v>770</v>
      </c>
      <c r="F100" s="40"/>
      <c r="G100" s="41">
        <v>2277</v>
      </c>
      <c r="H100" s="40"/>
      <c r="I100" s="40"/>
      <c r="J100" s="42">
        <v>244</v>
      </c>
      <c r="K100" s="43" t="s">
        <v>116</v>
      </c>
      <c r="L100" s="43" t="s">
        <v>133</v>
      </c>
      <c r="M100" s="42" t="s">
        <v>605</v>
      </c>
      <c r="N100" s="43" t="s">
        <v>136</v>
      </c>
      <c r="O100" s="43" t="s">
        <v>790</v>
      </c>
      <c r="P100" s="44">
        <v>0</v>
      </c>
      <c r="Q100" s="45" t="s">
        <v>25</v>
      </c>
      <c r="R100" s="45" t="s">
        <v>26</v>
      </c>
      <c r="S100" s="42">
        <v>2037</v>
      </c>
      <c r="T100" s="46">
        <v>50404</v>
      </c>
      <c r="U100" s="47">
        <v>0.55000000000000004</v>
      </c>
      <c r="V100" s="47">
        <v>0.40001999999999993</v>
      </c>
      <c r="W100" s="48">
        <f t="shared" si="23"/>
        <v>0.95001999999999998</v>
      </c>
      <c r="X100" s="47">
        <v>0.05</v>
      </c>
      <c r="Y100" s="47">
        <v>9.0000000000000011E-2</v>
      </c>
      <c r="Z100" s="47">
        <v>6.8000000000000005E-2</v>
      </c>
      <c r="AA100" s="53">
        <v>0.19800000000000001</v>
      </c>
      <c r="AB100" s="47">
        <v>4.9980000000000024E-2</v>
      </c>
      <c r="AC100" s="51">
        <f t="shared" si="33"/>
        <v>315000</v>
      </c>
      <c r="AD100" s="46"/>
      <c r="AE100" s="40">
        <f t="shared" si="24"/>
        <v>0</v>
      </c>
      <c r="AF100" s="53">
        <f t="shared" si="25"/>
        <v>0</v>
      </c>
      <c r="AG100" s="55">
        <f t="shared" si="26"/>
        <v>51.344999999999999</v>
      </c>
      <c r="AH100" s="40">
        <v>163</v>
      </c>
      <c r="AI100" s="40">
        <v>210</v>
      </c>
      <c r="AJ100" s="40">
        <v>1500</v>
      </c>
      <c r="AK100" s="40">
        <v>550</v>
      </c>
      <c r="AL100" s="55">
        <f t="shared" si="27"/>
        <v>173.25</v>
      </c>
      <c r="AM100" s="55">
        <f t="shared" si="28"/>
        <v>95.287500000000009</v>
      </c>
      <c r="AN100" s="49">
        <v>115500</v>
      </c>
      <c r="AO100" s="57">
        <f t="shared" si="29"/>
        <v>34230</v>
      </c>
      <c r="AP100" s="60">
        <f t="shared" si="30"/>
        <v>0.59998000000000007</v>
      </c>
      <c r="AQ100" s="61">
        <f t="shared" si="31"/>
        <v>2.024472392638037</v>
      </c>
    </row>
    <row r="101" spans="1:43">
      <c r="A101" s="22" t="s">
        <v>481</v>
      </c>
      <c r="B101" s="22" t="s">
        <v>662</v>
      </c>
      <c r="C101" s="24" t="s">
        <v>394</v>
      </c>
      <c r="D101" s="25">
        <v>1</v>
      </c>
      <c r="E101" s="26" t="s">
        <v>770</v>
      </c>
      <c r="F101" s="20"/>
      <c r="G101" s="27">
        <v>2277</v>
      </c>
      <c r="H101" s="20"/>
      <c r="I101" s="20"/>
      <c r="J101" s="28">
        <v>245</v>
      </c>
      <c r="K101" s="29" t="s">
        <v>116</v>
      </c>
      <c r="L101" s="29" t="s">
        <v>133</v>
      </c>
      <c r="M101" s="28" t="s">
        <v>605</v>
      </c>
      <c r="N101" s="29" t="s">
        <v>24</v>
      </c>
      <c r="O101" s="29" t="s">
        <v>790</v>
      </c>
      <c r="P101" s="37">
        <v>0</v>
      </c>
      <c r="Q101" s="30" t="s">
        <v>25</v>
      </c>
      <c r="R101" s="30" t="s">
        <v>26</v>
      </c>
      <c r="S101" s="28">
        <v>2039</v>
      </c>
      <c r="T101" s="32">
        <v>51134</v>
      </c>
      <c r="U101" s="31">
        <v>0.55000000000000004</v>
      </c>
      <c r="V101" s="31">
        <v>0.40001999999999993</v>
      </c>
      <c r="W101" s="36">
        <f t="shared" si="23"/>
        <v>0.95001999999999998</v>
      </c>
      <c r="X101" s="31">
        <v>0.05</v>
      </c>
      <c r="Y101" s="31">
        <v>9.0000000000000011E-2</v>
      </c>
      <c r="Z101" s="31">
        <v>6.8000000000000005E-2</v>
      </c>
      <c r="AA101" s="52">
        <v>0.19800000000000001</v>
      </c>
      <c r="AB101" s="31">
        <v>4.9980000000000024E-2</v>
      </c>
      <c r="AC101" s="50">
        <f t="shared" si="33"/>
        <v>315000</v>
      </c>
      <c r="AD101" s="32"/>
      <c r="AE101" s="20">
        <f t="shared" si="24"/>
        <v>0</v>
      </c>
      <c r="AF101" s="52">
        <f t="shared" si="25"/>
        <v>0</v>
      </c>
      <c r="AG101" s="54">
        <f t="shared" si="26"/>
        <v>51.344999999999999</v>
      </c>
      <c r="AH101" s="20">
        <v>163</v>
      </c>
      <c r="AI101" s="20">
        <v>210</v>
      </c>
      <c r="AJ101" s="20">
        <v>1500</v>
      </c>
      <c r="AK101" s="20">
        <v>550</v>
      </c>
      <c r="AL101" s="54">
        <f t="shared" si="27"/>
        <v>173.25</v>
      </c>
      <c r="AM101" s="54">
        <f t="shared" si="28"/>
        <v>95.287500000000009</v>
      </c>
      <c r="AN101" s="33">
        <v>115500</v>
      </c>
      <c r="AO101" s="56">
        <f t="shared" si="29"/>
        <v>34230</v>
      </c>
      <c r="AP101" s="58">
        <f t="shared" si="30"/>
        <v>0.59998000000000007</v>
      </c>
      <c r="AQ101" s="59">
        <f t="shared" si="31"/>
        <v>2.024472392638037</v>
      </c>
    </row>
    <row r="102" spans="1:43">
      <c r="A102" s="22" t="s">
        <v>481</v>
      </c>
      <c r="B102" s="22" t="s">
        <v>663</v>
      </c>
      <c r="C102" s="24" t="s">
        <v>394</v>
      </c>
      <c r="D102" s="38">
        <v>1</v>
      </c>
      <c r="E102" s="39" t="s">
        <v>770</v>
      </c>
      <c r="F102" s="40"/>
      <c r="G102" s="41">
        <v>2277</v>
      </c>
      <c r="H102" s="40"/>
      <c r="I102" s="40"/>
      <c r="J102" s="42">
        <v>246</v>
      </c>
      <c r="K102" s="43" t="s">
        <v>116</v>
      </c>
      <c r="L102" s="43" t="s">
        <v>133</v>
      </c>
      <c r="M102" s="42" t="s">
        <v>605</v>
      </c>
      <c r="N102" s="43" t="s">
        <v>24</v>
      </c>
      <c r="O102" s="43" t="s">
        <v>790</v>
      </c>
      <c r="P102" s="44">
        <v>0</v>
      </c>
      <c r="Q102" s="45" t="s">
        <v>25</v>
      </c>
      <c r="R102" s="45" t="s">
        <v>26</v>
      </c>
      <c r="S102" s="42">
        <v>2041</v>
      </c>
      <c r="T102" s="46">
        <v>51865</v>
      </c>
      <c r="U102" s="47">
        <v>0.55000000000000004</v>
      </c>
      <c r="V102" s="47">
        <v>0.40001999999999993</v>
      </c>
      <c r="W102" s="48">
        <f t="shared" si="23"/>
        <v>0.95001999999999998</v>
      </c>
      <c r="X102" s="47">
        <v>0.05</v>
      </c>
      <c r="Y102" s="47">
        <v>9.0000000000000011E-2</v>
      </c>
      <c r="Z102" s="47">
        <v>6.8000000000000005E-2</v>
      </c>
      <c r="AA102" s="53">
        <v>0.19800000000000001</v>
      </c>
      <c r="AB102" s="47">
        <v>4.9980000000000024E-2</v>
      </c>
      <c r="AC102" s="51">
        <f t="shared" si="33"/>
        <v>315000</v>
      </c>
      <c r="AD102" s="46"/>
      <c r="AE102" s="40">
        <f t="shared" si="24"/>
        <v>0</v>
      </c>
      <c r="AF102" s="53">
        <f t="shared" si="25"/>
        <v>0</v>
      </c>
      <c r="AG102" s="55">
        <f t="shared" si="26"/>
        <v>51.344999999999999</v>
      </c>
      <c r="AH102" s="40">
        <v>163</v>
      </c>
      <c r="AI102" s="40">
        <v>210</v>
      </c>
      <c r="AJ102" s="40">
        <v>1500</v>
      </c>
      <c r="AK102" s="40">
        <v>550</v>
      </c>
      <c r="AL102" s="55">
        <f t="shared" si="27"/>
        <v>173.25</v>
      </c>
      <c r="AM102" s="55">
        <f t="shared" si="28"/>
        <v>95.287500000000009</v>
      </c>
      <c r="AN102" s="49">
        <v>115500</v>
      </c>
      <c r="AO102" s="57">
        <f t="shared" si="29"/>
        <v>34230</v>
      </c>
      <c r="AP102" s="60">
        <f t="shared" si="30"/>
        <v>0.59998000000000007</v>
      </c>
      <c r="AQ102" s="61">
        <f t="shared" si="31"/>
        <v>2.024472392638037</v>
      </c>
    </row>
    <row r="103" spans="1:43">
      <c r="A103" s="22" t="s">
        <v>481</v>
      </c>
      <c r="B103" s="22" t="s">
        <v>664</v>
      </c>
      <c r="C103" s="24" t="s">
        <v>394</v>
      </c>
      <c r="D103" s="25">
        <v>1</v>
      </c>
      <c r="E103" s="26" t="s">
        <v>770</v>
      </c>
      <c r="F103" s="20"/>
      <c r="G103" s="27">
        <v>2277</v>
      </c>
      <c r="H103" s="20"/>
      <c r="I103" s="20"/>
      <c r="J103" s="28">
        <v>247</v>
      </c>
      <c r="K103" s="29" t="s">
        <v>116</v>
      </c>
      <c r="L103" s="29" t="s">
        <v>133</v>
      </c>
      <c r="M103" s="28" t="s">
        <v>605</v>
      </c>
      <c r="N103" s="29" t="s">
        <v>24</v>
      </c>
      <c r="O103" s="29" t="s">
        <v>790</v>
      </c>
      <c r="P103" s="37">
        <v>0</v>
      </c>
      <c r="Q103" s="30" t="s">
        <v>25</v>
      </c>
      <c r="R103" s="30" t="s">
        <v>26</v>
      </c>
      <c r="S103" s="28">
        <v>2043</v>
      </c>
      <c r="T103" s="32">
        <v>52595</v>
      </c>
      <c r="U103" s="31">
        <v>0.55000000000000004</v>
      </c>
      <c r="V103" s="31">
        <v>0.40001999999999993</v>
      </c>
      <c r="W103" s="36">
        <f t="shared" si="23"/>
        <v>0.95001999999999998</v>
      </c>
      <c r="X103" s="31">
        <v>0.05</v>
      </c>
      <c r="Y103" s="31">
        <v>9.0000000000000011E-2</v>
      </c>
      <c r="Z103" s="31">
        <v>6.8000000000000005E-2</v>
      </c>
      <c r="AA103" s="52">
        <v>0.19800000000000001</v>
      </c>
      <c r="AB103" s="31">
        <v>4.9980000000000024E-2</v>
      </c>
      <c r="AC103" s="50">
        <f t="shared" si="33"/>
        <v>315000</v>
      </c>
      <c r="AD103" s="32"/>
      <c r="AE103" s="20">
        <f t="shared" si="24"/>
        <v>0</v>
      </c>
      <c r="AF103" s="52">
        <f t="shared" si="25"/>
        <v>0</v>
      </c>
      <c r="AG103" s="54">
        <f t="shared" si="26"/>
        <v>51.344999999999999</v>
      </c>
      <c r="AH103" s="20">
        <v>163</v>
      </c>
      <c r="AI103" s="20">
        <v>210</v>
      </c>
      <c r="AJ103" s="20">
        <v>1500</v>
      </c>
      <c r="AK103" s="20">
        <v>550</v>
      </c>
      <c r="AL103" s="54">
        <f t="shared" si="27"/>
        <v>173.25</v>
      </c>
      <c r="AM103" s="54">
        <f t="shared" si="28"/>
        <v>95.287500000000009</v>
      </c>
      <c r="AN103" s="33">
        <v>115500</v>
      </c>
      <c r="AO103" s="56">
        <f t="shared" si="29"/>
        <v>34230</v>
      </c>
      <c r="AP103" s="58">
        <f t="shared" si="30"/>
        <v>0.59998000000000007</v>
      </c>
      <c r="AQ103" s="59">
        <f t="shared" si="31"/>
        <v>2.024472392638037</v>
      </c>
    </row>
    <row r="104" spans="1:43">
      <c r="A104" s="22" t="s">
        <v>481</v>
      </c>
      <c r="B104" s="22" t="s">
        <v>665</v>
      </c>
      <c r="C104" s="24" t="s">
        <v>394</v>
      </c>
      <c r="D104" s="38">
        <v>1</v>
      </c>
      <c r="E104" s="39" t="s">
        <v>770</v>
      </c>
      <c r="F104" s="40"/>
      <c r="G104" s="41">
        <v>2277</v>
      </c>
      <c r="H104" s="40"/>
      <c r="I104" s="40"/>
      <c r="J104" s="42">
        <v>248</v>
      </c>
      <c r="K104" s="43" t="s">
        <v>116</v>
      </c>
      <c r="L104" s="43" t="s">
        <v>133</v>
      </c>
      <c r="M104" s="42" t="s">
        <v>605</v>
      </c>
      <c r="N104" s="43" t="s">
        <v>24</v>
      </c>
      <c r="O104" s="43" t="s">
        <v>790</v>
      </c>
      <c r="P104" s="44">
        <v>0</v>
      </c>
      <c r="Q104" s="45" t="s">
        <v>25</v>
      </c>
      <c r="R104" s="45" t="s">
        <v>26</v>
      </c>
      <c r="S104" s="42">
        <v>2045</v>
      </c>
      <c r="T104" s="46">
        <v>53326</v>
      </c>
      <c r="U104" s="47">
        <v>0.55000000000000004</v>
      </c>
      <c r="V104" s="47">
        <v>0.40001999999999993</v>
      </c>
      <c r="W104" s="48">
        <f t="shared" si="23"/>
        <v>0.95001999999999998</v>
      </c>
      <c r="X104" s="47">
        <v>0.05</v>
      </c>
      <c r="Y104" s="47">
        <v>9.0000000000000011E-2</v>
      </c>
      <c r="Z104" s="47">
        <v>6.8000000000000005E-2</v>
      </c>
      <c r="AA104" s="53">
        <v>0.19800000000000001</v>
      </c>
      <c r="AB104" s="47">
        <v>4.9980000000000024E-2</v>
      </c>
      <c r="AC104" s="51">
        <f t="shared" si="33"/>
        <v>315000</v>
      </c>
      <c r="AD104" s="46"/>
      <c r="AE104" s="40">
        <f t="shared" si="24"/>
        <v>0</v>
      </c>
      <c r="AF104" s="53">
        <f t="shared" si="25"/>
        <v>0</v>
      </c>
      <c r="AG104" s="55">
        <f t="shared" si="26"/>
        <v>51.344999999999999</v>
      </c>
      <c r="AH104" s="40">
        <v>163</v>
      </c>
      <c r="AI104" s="40">
        <v>210</v>
      </c>
      <c r="AJ104" s="40">
        <v>1500</v>
      </c>
      <c r="AK104" s="40">
        <v>550</v>
      </c>
      <c r="AL104" s="55">
        <f t="shared" si="27"/>
        <v>173.25</v>
      </c>
      <c r="AM104" s="55">
        <f t="shared" si="28"/>
        <v>95.287500000000009</v>
      </c>
      <c r="AN104" s="49">
        <v>115500</v>
      </c>
      <c r="AO104" s="57">
        <f t="shared" si="29"/>
        <v>34230</v>
      </c>
      <c r="AP104" s="60">
        <f t="shared" si="30"/>
        <v>0.59998000000000007</v>
      </c>
      <c r="AQ104" s="61">
        <f t="shared" si="31"/>
        <v>2.024472392638037</v>
      </c>
    </row>
    <row r="105" spans="1:43">
      <c r="A105" s="22" t="s">
        <v>466</v>
      </c>
      <c r="B105" s="22" t="s">
        <v>263</v>
      </c>
      <c r="C105" s="24" t="s">
        <v>405</v>
      </c>
      <c r="D105" s="25">
        <v>1</v>
      </c>
      <c r="E105" s="26" t="s">
        <v>770</v>
      </c>
      <c r="F105" s="20"/>
      <c r="G105" s="27">
        <v>2288</v>
      </c>
      <c r="H105" s="20"/>
      <c r="I105" s="20"/>
      <c r="J105" s="28">
        <v>214</v>
      </c>
      <c r="K105" s="29" t="s">
        <v>116</v>
      </c>
      <c r="L105" s="29" t="s">
        <v>117</v>
      </c>
      <c r="M105" s="28" t="s">
        <v>593</v>
      </c>
      <c r="N105" s="29" t="s">
        <v>48</v>
      </c>
      <c r="O105" s="29" t="s">
        <v>790</v>
      </c>
      <c r="P105" s="37">
        <v>0</v>
      </c>
      <c r="Q105" s="30" t="s">
        <v>25</v>
      </c>
      <c r="R105" s="30" t="s">
        <v>26</v>
      </c>
      <c r="S105" s="28">
        <v>2029</v>
      </c>
      <c r="T105" s="32">
        <v>47391</v>
      </c>
      <c r="U105" s="31">
        <v>0.45834999999999998</v>
      </c>
      <c r="V105" s="31">
        <v>0.5</v>
      </c>
      <c r="W105" s="36">
        <f t="shared" si="23"/>
        <v>0.95835000000000004</v>
      </c>
      <c r="X105" s="31">
        <v>0.05</v>
      </c>
      <c r="Y105" s="31">
        <v>0</v>
      </c>
      <c r="Z105" s="31">
        <v>6.8000000000000005E-2</v>
      </c>
      <c r="AA105" s="52">
        <v>0.19800000000000001</v>
      </c>
      <c r="AB105" s="31">
        <v>4.1649999999999965E-2</v>
      </c>
      <c r="AC105" s="50">
        <f t="shared" si="33"/>
        <v>233408</v>
      </c>
      <c r="AD105" s="32"/>
      <c r="AE105" s="20">
        <f t="shared" si="24"/>
        <v>0</v>
      </c>
      <c r="AF105" s="52">
        <f t="shared" si="25"/>
        <v>0</v>
      </c>
      <c r="AG105" s="54">
        <f t="shared" si="26"/>
        <v>38.045503999999994</v>
      </c>
      <c r="AH105" s="20">
        <v>163</v>
      </c>
      <c r="AI105" s="20">
        <v>212.7693710118505</v>
      </c>
      <c r="AJ105" s="20">
        <v>1097</v>
      </c>
      <c r="AK105" s="20">
        <v>600</v>
      </c>
      <c r="AL105" s="54">
        <f t="shared" si="27"/>
        <v>140.04480000000001</v>
      </c>
      <c r="AM105" s="54">
        <f t="shared" si="28"/>
        <v>64.189534080000001</v>
      </c>
      <c r="AN105" s="33">
        <v>127661.6226071103</v>
      </c>
      <c r="AO105" s="56">
        <f t="shared" si="29"/>
        <v>34681.407474931628</v>
      </c>
      <c r="AP105" s="58">
        <f t="shared" si="30"/>
        <v>0.49999999999999994</v>
      </c>
      <c r="AQ105" s="59">
        <f t="shared" si="31"/>
        <v>1.8404907975460123</v>
      </c>
    </row>
    <row r="106" spans="1:43">
      <c r="A106" s="22" t="s">
        <v>466</v>
      </c>
      <c r="B106" s="22" t="s">
        <v>264</v>
      </c>
      <c r="C106" s="24" t="s">
        <v>405</v>
      </c>
      <c r="D106" s="38">
        <v>1</v>
      </c>
      <c r="E106" s="39" t="s">
        <v>770</v>
      </c>
      <c r="F106" s="40"/>
      <c r="G106" s="41">
        <v>2288</v>
      </c>
      <c r="H106" s="40"/>
      <c r="I106" s="40"/>
      <c r="J106" s="42">
        <v>215</v>
      </c>
      <c r="K106" s="43" t="s">
        <v>116</v>
      </c>
      <c r="L106" s="43" t="s">
        <v>117</v>
      </c>
      <c r="M106" s="42" t="s">
        <v>593</v>
      </c>
      <c r="N106" s="43" t="s">
        <v>49</v>
      </c>
      <c r="O106" s="43" t="s">
        <v>790</v>
      </c>
      <c r="P106" s="44">
        <v>0</v>
      </c>
      <c r="Q106" s="45" t="s">
        <v>25</v>
      </c>
      <c r="R106" s="45" t="s">
        <v>26</v>
      </c>
      <c r="S106" s="42">
        <v>2030</v>
      </c>
      <c r="T106" s="46">
        <v>47756</v>
      </c>
      <c r="U106" s="47">
        <v>0.45834999999999998</v>
      </c>
      <c r="V106" s="47">
        <v>0.5</v>
      </c>
      <c r="W106" s="48">
        <f t="shared" si="23"/>
        <v>0.95835000000000004</v>
      </c>
      <c r="X106" s="47">
        <v>0.05</v>
      </c>
      <c r="Y106" s="47">
        <v>0</v>
      </c>
      <c r="Z106" s="47">
        <v>6.8000000000000005E-2</v>
      </c>
      <c r="AA106" s="53">
        <v>0.19800000000000001</v>
      </c>
      <c r="AB106" s="47">
        <v>4.1649999999999965E-2</v>
      </c>
      <c r="AC106" s="51">
        <f t="shared" si="33"/>
        <v>242000</v>
      </c>
      <c r="AD106" s="46"/>
      <c r="AE106" s="40">
        <f t="shared" si="24"/>
        <v>0</v>
      </c>
      <c r="AF106" s="53">
        <f t="shared" si="25"/>
        <v>0</v>
      </c>
      <c r="AG106" s="55">
        <f t="shared" si="26"/>
        <v>39.445999999999998</v>
      </c>
      <c r="AH106" s="40">
        <v>163</v>
      </c>
      <c r="AI106" s="40">
        <v>220</v>
      </c>
      <c r="AJ106" s="40">
        <v>1100</v>
      </c>
      <c r="AK106" s="40">
        <v>600</v>
      </c>
      <c r="AL106" s="55">
        <f t="shared" si="27"/>
        <v>145.19999999999999</v>
      </c>
      <c r="AM106" s="55">
        <f t="shared" si="28"/>
        <v>66.552419999999998</v>
      </c>
      <c r="AN106" s="49">
        <v>132000</v>
      </c>
      <c r="AO106" s="57">
        <f t="shared" si="29"/>
        <v>35860</v>
      </c>
      <c r="AP106" s="60">
        <f t="shared" si="30"/>
        <v>0.49999999999999994</v>
      </c>
      <c r="AQ106" s="61">
        <f t="shared" si="31"/>
        <v>1.8404907975460119</v>
      </c>
    </row>
    <row r="107" spans="1:43">
      <c r="A107" s="22" t="s">
        <v>467</v>
      </c>
      <c r="B107" s="22" t="s">
        <v>666</v>
      </c>
      <c r="C107" s="24" t="s">
        <v>405</v>
      </c>
      <c r="D107" s="25">
        <v>1</v>
      </c>
      <c r="E107" s="26" t="s">
        <v>770</v>
      </c>
      <c r="F107" s="20"/>
      <c r="G107" s="27">
        <v>2567</v>
      </c>
      <c r="H107" s="20"/>
      <c r="I107" s="20"/>
      <c r="J107" s="28">
        <v>216</v>
      </c>
      <c r="K107" s="29" t="s">
        <v>116</v>
      </c>
      <c r="L107" s="29" t="s">
        <v>117</v>
      </c>
      <c r="M107" s="28" t="s">
        <v>593</v>
      </c>
      <c r="N107" s="29" t="s">
        <v>24</v>
      </c>
      <c r="O107" s="29" t="s">
        <v>790</v>
      </c>
      <c r="P107" s="37">
        <v>0</v>
      </c>
      <c r="Q107" s="30" t="s">
        <v>25</v>
      </c>
      <c r="R107" s="30" t="s">
        <v>26</v>
      </c>
      <c r="S107" s="28">
        <v>2027</v>
      </c>
      <c r="T107" s="32">
        <v>46660</v>
      </c>
      <c r="U107" s="31">
        <v>0.4844</v>
      </c>
      <c r="V107" s="31">
        <v>0.47158285153267154</v>
      </c>
      <c r="W107" s="36">
        <f t="shared" si="23"/>
        <v>0.9559828515326716</v>
      </c>
      <c r="X107" s="31">
        <v>0.05</v>
      </c>
      <c r="Y107" s="31">
        <v>0</v>
      </c>
      <c r="Z107" s="31">
        <v>6.8000000000000005E-2</v>
      </c>
      <c r="AA107" s="52">
        <v>0.19800000000000001</v>
      </c>
      <c r="AB107" s="31">
        <v>4.4017148467328404E-2</v>
      </c>
      <c r="AC107" s="50">
        <f t="shared" si="33"/>
        <v>182214</v>
      </c>
      <c r="AD107" s="32"/>
      <c r="AE107" s="20">
        <f t="shared" si="24"/>
        <v>0</v>
      </c>
      <c r="AF107" s="52">
        <f t="shared" si="25"/>
        <v>0</v>
      </c>
      <c r="AG107" s="54">
        <f t="shared" si="26"/>
        <v>29.700882</v>
      </c>
      <c r="AH107" s="20">
        <v>163</v>
      </c>
      <c r="AI107" s="20">
        <v>240.07114624505928</v>
      </c>
      <c r="AJ107" s="20">
        <v>759</v>
      </c>
      <c r="AK107" s="20">
        <v>680</v>
      </c>
      <c r="AL107" s="54">
        <f t="shared" si="27"/>
        <v>123.90552</v>
      </c>
      <c r="AM107" s="54">
        <f t="shared" si="28"/>
        <v>60.019833888000001</v>
      </c>
      <c r="AN107" s="33">
        <v>163248.37944664032</v>
      </c>
      <c r="AO107" s="56">
        <f t="shared" si="29"/>
        <v>39131.596837944664</v>
      </c>
      <c r="AP107" s="58">
        <f t="shared" si="30"/>
        <v>0.52841714846732835</v>
      </c>
      <c r="AQ107" s="59">
        <f t="shared" si="31"/>
        <v>2.2044396377778113</v>
      </c>
    </row>
    <row r="108" spans="1:43">
      <c r="A108" s="22" t="s">
        <v>473</v>
      </c>
      <c r="B108" s="22" t="s">
        <v>667</v>
      </c>
      <c r="C108" s="24" t="s">
        <v>399</v>
      </c>
      <c r="D108" s="38">
        <v>1</v>
      </c>
      <c r="E108" s="39" t="s">
        <v>770</v>
      </c>
      <c r="F108" s="40"/>
      <c r="G108" s="41">
        <v>2278</v>
      </c>
      <c r="H108" s="40"/>
      <c r="I108" s="40"/>
      <c r="J108" s="42">
        <v>226</v>
      </c>
      <c r="K108" s="43" t="s">
        <v>116</v>
      </c>
      <c r="L108" s="43" t="s">
        <v>604</v>
      </c>
      <c r="M108" s="42" t="s">
        <v>595</v>
      </c>
      <c r="N108" s="43" t="s">
        <v>115</v>
      </c>
      <c r="O108" s="43" t="s">
        <v>790</v>
      </c>
      <c r="P108" s="44">
        <v>0</v>
      </c>
      <c r="Q108" s="45" t="s">
        <v>25</v>
      </c>
      <c r="R108" s="45" t="s">
        <v>789</v>
      </c>
      <c r="S108" s="42">
        <v>2026</v>
      </c>
      <c r="T108" s="46">
        <v>46387</v>
      </c>
      <c r="U108" s="47">
        <v>0.59585500000000002</v>
      </c>
      <c r="V108" s="47">
        <v>0.35</v>
      </c>
      <c r="W108" s="48">
        <f t="shared" si="23"/>
        <v>0.945855</v>
      </c>
      <c r="X108" s="47">
        <v>0.05</v>
      </c>
      <c r="Y108" s="47">
        <v>9.0000000000000011E-2</v>
      </c>
      <c r="Z108" s="47">
        <v>6.8000000000000005E-2</v>
      </c>
      <c r="AA108" s="53">
        <v>0.19800000000000001</v>
      </c>
      <c r="AB108" s="47">
        <v>5.4144999999999999E-2</v>
      </c>
      <c r="AC108" s="51">
        <f t="shared" si="33"/>
        <v>202302.49</v>
      </c>
      <c r="AD108" s="46"/>
      <c r="AE108" s="40">
        <f t="shared" si="24"/>
        <v>0</v>
      </c>
      <c r="AF108" s="53">
        <f t="shared" si="25"/>
        <v>0</v>
      </c>
      <c r="AG108" s="55">
        <f t="shared" si="26"/>
        <v>32.97530587</v>
      </c>
      <c r="AH108" s="40">
        <v>163</v>
      </c>
      <c r="AI108" s="40">
        <v>275.99248294679398</v>
      </c>
      <c r="AJ108" s="40">
        <v>733</v>
      </c>
      <c r="AK108" s="40">
        <v>650</v>
      </c>
      <c r="AL108" s="55">
        <f t="shared" si="27"/>
        <v>131.49661850000001</v>
      </c>
      <c r="AM108" s="55">
        <f t="shared" si="28"/>
        <v>78.352917616317512</v>
      </c>
      <c r="AN108" s="49">
        <v>179395.11391541609</v>
      </c>
      <c r="AO108" s="57">
        <f t="shared" si="29"/>
        <v>44986.774720327419</v>
      </c>
      <c r="AP108" s="60">
        <f t="shared" si="30"/>
        <v>0.65</v>
      </c>
      <c r="AQ108" s="61">
        <f t="shared" si="31"/>
        <v>2.592024539877301</v>
      </c>
    </row>
    <row r="109" spans="1:43">
      <c r="A109" s="22" t="s">
        <v>469</v>
      </c>
      <c r="B109" s="22" t="s">
        <v>265</v>
      </c>
      <c r="C109" s="24" t="s">
        <v>402</v>
      </c>
      <c r="D109" s="25">
        <v>1</v>
      </c>
      <c r="E109" s="26" t="s">
        <v>770</v>
      </c>
      <c r="F109" s="20"/>
      <c r="G109" s="27">
        <v>2284</v>
      </c>
      <c r="H109" s="20"/>
      <c r="I109" s="20"/>
      <c r="J109" s="28">
        <v>218</v>
      </c>
      <c r="K109" s="29" t="s">
        <v>116</v>
      </c>
      <c r="L109" s="29" t="s">
        <v>120</v>
      </c>
      <c r="M109" s="28" t="s">
        <v>594</v>
      </c>
      <c r="N109" s="29" t="s">
        <v>121</v>
      </c>
      <c r="O109" s="29" t="s">
        <v>790</v>
      </c>
      <c r="P109" s="37">
        <v>0</v>
      </c>
      <c r="Q109" s="30" t="s">
        <v>25</v>
      </c>
      <c r="R109" s="30" t="s">
        <v>26</v>
      </c>
      <c r="S109" s="28">
        <v>2028</v>
      </c>
      <c r="T109" s="32">
        <v>46934</v>
      </c>
      <c r="U109" s="31">
        <v>0.50418499999999999</v>
      </c>
      <c r="V109" s="31">
        <v>0.44999999999999996</v>
      </c>
      <c r="W109" s="36">
        <f t="shared" si="23"/>
        <v>0.95418499999999995</v>
      </c>
      <c r="X109" s="31">
        <v>0.05</v>
      </c>
      <c r="Y109" s="31">
        <v>9.0000000000000011E-2</v>
      </c>
      <c r="Z109" s="31">
        <v>6.8000000000000005E-2</v>
      </c>
      <c r="AA109" s="52">
        <v>0.19800000000000001</v>
      </c>
      <c r="AB109" s="31">
        <v>4.581500000000005E-2</v>
      </c>
      <c r="AC109" s="50">
        <f t="shared" si="33"/>
        <v>411540</v>
      </c>
      <c r="AD109" s="32"/>
      <c r="AE109" s="20">
        <f t="shared" si="24"/>
        <v>0</v>
      </c>
      <c r="AF109" s="52">
        <f t="shared" si="25"/>
        <v>0</v>
      </c>
      <c r="AG109" s="54">
        <f t="shared" si="26"/>
        <v>69.961799999999997</v>
      </c>
      <c r="AH109" s="20">
        <v>170</v>
      </c>
      <c r="AI109" s="20">
        <v>361</v>
      </c>
      <c r="AJ109" s="20">
        <v>1140</v>
      </c>
      <c r="AK109" s="20">
        <v>650</v>
      </c>
      <c r="AL109" s="54">
        <f t="shared" si="27"/>
        <v>267.50099999999998</v>
      </c>
      <c r="AM109" s="54">
        <f t="shared" si="28"/>
        <v>134.86999168499997</v>
      </c>
      <c r="AN109" s="33">
        <v>234650</v>
      </c>
      <c r="AO109" s="56">
        <f t="shared" si="29"/>
        <v>61370</v>
      </c>
      <c r="AP109" s="58">
        <f t="shared" si="30"/>
        <v>0.55000000000000004</v>
      </c>
      <c r="AQ109" s="59">
        <f t="shared" si="31"/>
        <v>2.1029411764705883</v>
      </c>
    </row>
    <row r="110" spans="1:43">
      <c r="A110" s="22" t="s">
        <v>469</v>
      </c>
      <c r="B110" s="22" t="s">
        <v>266</v>
      </c>
      <c r="C110" s="24" t="s">
        <v>402</v>
      </c>
      <c r="D110" s="38">
        <v>1</v>
      </c>
      <c r="E110" s="39" t="s">
        <v>770</v>
      </c>
      <c r="F110" s="40"/>
      <c r="G110" s="41">
        <v>2284</v>
      </c>
      <c r="H110" s="40"/>
      <c r="I110" s="40"/>
      <c r="J110" s="42">
        <v>219</v>
      </c>
      <c r="K110" s="43" t="s">
        <v>116</v>
      </c>
      <c r="L110" s="43" t="s">
        <v>120</v>
      </c>
      <c r="M110" s="42" t="s">
        <v>594</v>
      </c>
      <c r="N110" s="43" t="s">
        <v>122</v>
      </c>
      <c r="O110" s="43" t="s">
        <v>790</v>
      </c>
      <c r="P110" s="44">
        <v>0</v>
      </c>
      <c r="Q110" s="45" t="s">
        <v>25</v>
      </c>
      <c r="R110" s="45" t="s">
        <v>26</v>
      </c>
      <c r="S110" s="42">
        <v>2029</v>
      </c>
      <c r="T110" s="46">
        <v>47299</v>
      </c>
      <c r="U110" s="47">
        <v>0.50418499999999999</v>
      </c>
      <c r="V110" s="47">
        <v>0.44999999999999996</v>
      </c>
      <c r="W110" s="48">
        <f t="shared" si="23"/>
        <v>0.95418499999999995</v>
      </c>
      <c r="X110" s="47">
        <v>0.05</v>
      </c>
      <c r="Y110" s="47">
        <v>9.0000000000000011E-2</v>
      </c>
      <c r="Z110" s="47">
        <v>6.8000000000000005E-2</v>
      </c>
      <c r="AA110" s="53">
        <v>0.19800000000000001</v>
      </c>
      <c r="AB110" s="47">
        <v>4.581500000000005E-2</v>
      </c>
      <c r="AC110" s="51">
        <f t="shared" si="33"/>
        <v>411540</v>
      </c>
      <c r="AD110" s="46"/>
      <c r="AE110" s="40">
        <f t="shared" si="24"/>
        <v>0</v>
      </c>
      <c r="AF110" s="53">
        <f t="shared" si="25"/>
        <v>0</v>
      </c>
      <c r="AG110" s="55">
        <f t="shared" si="26"/>
        <v>69.961799999999997</v>
      </c>
      <c r="AH110" s="40">
        <v>170</v>
      </c>
      <c r="AI110" s="40">
        <v>361</v>
      </c>
      <c r="AJ110" s="40">
        <v>1140</v>
      </c>
      <c r="AK110" s="40">
        <v>650</v>
      </c>
      <c r="AL110" s="55">
        <f t="shared" si="27"/>
        <v>267.50099999999998</v>
      </c>
      <c r="AM110" s="55">
        <f t="shared" si="28"/>
        <v>134.86999168499997</v>
      </c>
      <c r="AN110" s="49">
        <v>234650</v>
      </c>
      <c r="AO110" s="57">
        <f t="shared" si="29"/>
        <v>61370</v>
      </c>
      <c r="AP110" s="60">
        <f t="shared" si="30"/>
        <v>0.55000000000000004</v>
      </c>
      <c r="AQ110" s="61">
        <f t="shared" si="31"/>
        <v>2.1029411764705883</v>
      </c>
    </row>
    <row r="111" spans="1:43">
      <c r="A111" s="22" t="s">
        <v>469</v>
      </c>
      <c r="B111" s="22" t="s">
        <v>267</v>
      </c>
      <c r="C111" s="24" t="s">
        <v>402</v>
      </c>
      <c r="D111" s="25">
        <v>1</v>
      </c>
      <c r="E111" s="26" t="s">
        <v>770</v>
      </c>
      <c r="F111" s="20"/>
      <c r="G111" s="27">
        <v>2284</v>
      </c>
      <c r="H111" s="20"/>
      <c r="I111" s="20"/>
      <c r="J111" s="28">
        <v>220</v>
      </c>
      <c r="K111" s="29" t="s">
        <v>116</v>
      </c>
      <c r="L111" s="29" t="s">
        <v>120</v>
      </c>
      <c r="M111" s="28" t="s">
        <v>594</v>
      </c>
      <c r="N111" s="29" t="s">
        <v>123</v>
      </c>
      <c r="O111" s="29" t="s">
        <v>790</v>
      </c>
      <c r="P111" s="37">
        <v>0</v>
      </c>
      <c r="Q111" s="30" t="s">
        <v>25</v>
      </c>
      <c r="R111" s="30" t="s">
        <v>26</v>
      </c>
      <c r="S111" s="28">
        <v>2031</v>
      </c>
      <c r="T111" s="32">
        <v>48029</v>
      </c>
      <c r="U111" s="31">
        <v>0.50418499999999999</v>
      </c>
      <c r="V111" s="31">
        <v>0.44999999999999996</v>
      </c>
      <c r="W111" s="36">
        <f t="shared" si="23"/>
        <v>0.95418499999999995</v>
      </c>
      <c r="X111" s="31">
        <v>0.05</v>
      </c>
      <c r="Y111" s="31">
        <v>9.0000000000000011E-2</v>
      </c>
      <c r="Z111" s="31">
        <v>6.8000000000000005E-2</v>
      </c>
      <c r="AA111" s="52">
        <v>0.19800000000000001</v>
      </c>
      <c r="AB111" s="31">
        <v>4.581500000000005E-2</v>
      </c>
      <c r="AC111" s="50">
        <f t="shared" si="33"/>
        <v>202882</v>
      </c>
      <c r="AD111" s="32"/>
      <c r="AE111" s="20">
        <f t="shared" si="24"/>
        <v>0</v>
      </c>
      <c r="AF111" s="52">
        <f t="shared" si="25"/>
        <v>0</v>
      </c>
      <c r="AG111" s="54">
        <f t="shared" si="26"/>
        <v>34.489939999999997</v>
      </c>
      <c r="AH111" s="20">
        <v>170</v>
      </c>
      <c r="AI111" s="20">
        <v>361</v>
      </c>
      <c r="AJ111" s="20">
        <v>562</v>
      </c>
      <c r="AK111" s="20">
        <v>650</v>
      </c>
      <c r="AL111" s="54">
        <f t="shared" si="27"/>
        <v>131.8733</v>
      </c>
      <c r="AM111" s="54">
        <f t="shared" si="28"/>
        <v>66.488539760500004</v>
      </c>
      <c r="AN111" s="33">
        <v>234650</v>
      </c>
      <c r="AO111" s="56">
        <f t="shared" si="29"/>
        <v>61370</v>
      </c>
      <c r="AP111" s="58">
        <f t="shared" si="30"/>
        <v>0.55000000000000004</v>
      </c>
      <c r="AQ111" s="59">
        <f t="shared" si="31"/>
        <v>2.1029411764705883</v>
      </c>
    </row>
    <row r="112" spans="1:43">
      <c r="A112" s="22" t="s">
        <v>470</v>
      </c>
      <c r="B112" s="22" t="s">
        <v>268</v>
      </c>
      <c r="C112" s="24" t="s">
        <v>403</v>
      </c>
      <c r="D112" s="38">
        <v>1</v>
      </c>
      <c r="E112" s="39" t="s">
        <v>770</v>
      </c>
      <c r="F112" s="40"/>
      <c r="G112" s="41">
        <v>2299</v>
      </c>
      <c r="H112" s="40"/>
      <c r="I112" s="40"/>
      <c r="J112" s="42">
        <v>221</v>
      </c>
      <c r="K112" s="43" t="s">
        <v>116</v>
      </c>
      <c r="L112" s="43" t="s">
        <v>586</v>
      </c>
      <c r="M112" s="42" t="s">
        <v>601</v>
      </c>
      <c r="N112" s="43" t="s">
        <v>124</v>
      </c>
      <c r="O112" s="43" t="s">
        <v>790</v>
      </c>
      <c r="P112" s="44">
        <v>0</v>
      </c>
      <c r="Q112" s="45" t="s">
        <v>78</v>
      </c>
      <c r="R112" s="45" t="s">
        <v>26</v>
      </c>
      <c r="S112" s="42">
        <v>2030</v>
      </c>
      <c r="T112" s="46">
        <v>47756</v>
      </c>
      <c r="U112" s="47">
        <v>0.41339999999999999</v>
      </c>
      <c r="V112" s="47">
        <v>0.38</v>
      </c>
      <c r="W112" s="48">
        <f t="shared" si="23"/>
        <v>0.79339999999999999</v>
      </c>
      <c r="X112" s="47">
        <v>0.05</v>
      </c>
      <c r="Y112" s="47">
        <v>9.0000000000000011E-2</v>
      </c>
      <c r="Z112" s="47">
        <v>6.8000000000000005E-2</v>
      </c>
      <c r="AA112" s="53">
        <v>0.19800000000000001</v>
      </c>
      <c r="AB112" s="47">
        <v>0.20660000000000001</v>
      </c>
      <c r="AC112" s="51">
        <f t="shared" si="33"/>
        <v>213918.34</v>
      </c>
      <c r="AD112" s="46"/>
      <c r="AE112" s="40">
        <f t="shared" si="24"/>
        <v>0</v>
      </c>
      <c r="AF112" s="53">
        <f t="shared" si="25"/>
        <v>0</v>
      </c>
      <c r="AG112" s="55">
        <f t="shared" si="26"/>
        <v>77.010602399999996</v>
      </c>
      <c r="AH112" s="40">
        <v>360</v>
      </c>
      <c r="AI112" s="40">
        <v>250.19688888888888</v>
      </c>
      <c r="AJ112" s="40">
        <v>855</v>
      </c>
      <c r="AK112" s="40">
        <v>2000</v>
      </c>
      <c r="AL112" s="55">
        <f t="shared" si="27"/>
        <v>427.83668</v>
      </c>
      <c r="AM112" s="55">
        <f t="shared" si="28"/>
        <v>176.86768351199999</v>
      </c>
      <c r="AN112" s="49">
        <v>500393.77777777775</v>
      </c>
      <c r="AO112" s="57">
        <f t="shared" si="29"/>
        <v>90070.87999999999</v>
      </c>
      <c r="AP112" s="60">
        <f t="shared" si="30"/>
        <v>0.62</v>
      </c>
      <c r="AQ112" s="61">
        <f t="shared" si="31"/>
        <v>3.4444444444444446</v>
      </c>
    </row>
    <row r="113" spans="1:43">
      <c r="A113" s="22" t="s">
        <v>471</v>
      </c>
      <c r="B113" s="22" t="s">
        <v>269</v>
      </c>
      <c r="C113" s="24" t="s">
        <v>401</v>
      </c>
      <c r="D113" s="25">
        <v>1</v>
      </c>
      <c r="E113" s="26" t="s">
        <v>770</v>
      </c>
      <c r="F113" s="20"/>
      <c r="G113" s="27">
        <v>2273</v>
      </c>
      <c r="H113" s="20"/>
      <c r="I113" s="20"/>
      <c r="J113" s="28">
        <v>222</v>
      </c>
      <c r="K113" s="29" t="s">
        <v>116</v>
      </c>
      <c r="L113" s="29" t="s">
        <v>125</v>
      </c>
      <c r="M113" s="28" t="s">
        <v>595</v>
      </c>
      <c r="N113" s="29" t="s">
        <v>48</v>
      </c>
      <c r="O113" s="29" t="s">
        <v>787</v>
      </c>
      <c r="P113" s="37">
        <v>166666.66</v>
      </c>
      <c r="Q113" s="30" t="s">
        <v>25</v>
      </c>
      <c r="R113" s="30" t="s">
        <v>789</v>
      </c>
      <c r="S113" s="28">
        <v>2029</v>
      </c>
      <c r="T113" s="32">
        <v>47207</v>
      </c>
      <c r="U113" s="31">
        <v>0.64168999999999998</v>
      </c>
      <c r="V113" s="31">
        <v>0.30000000000000004</v>
      </c>
      <c r="W113" s="36">
        <f t="shared" si="23"/>
        <v>0.94169000000000003</v>
      </c>
      <c r="X113" s="31">
        <v>0.05</v>
      </c>
      <c r="Y113" s="31">
        <v>9.0000000000000011E-2</v>
      </c>
      <c r="Z113" s="31">
        <v>6.8000000000000005E-2</v>
      </c>
      <c r="AA113" s="52">
        <v>0.19800000000000001</v>
      </c>
      <c r="AB113" s="31">
        <v>5.8309999999999973E-2</v>
      </c>
      <c r="AC113" s="50">
        <f t="shared" si="33"/>
        <v>262200</v>
      </c>
      <c r="AD113" s="32"/>
      <c r="AE113" s="20">
        <f t="shared" si="24"/>
        <v>0.16666665999999999</v>
      </c>
      <c r="AF113" s="52">
        <f t="shared" si="25"/>
        <v>1.0594117721840835E-3</v>
      </c>
      <c r="AG113" s="54">
        <f t="shared" si="26"/>
        <v>42.738599999999998</v>
      </c>
      <c r="AH113" s="20">
        <v>163</v>
      </c>
      <c r="AI113" s="20">
        <v>230</v>
      </c>
      <c r="AJ113" s="20">
        <v>1140</v>
      </c>
      <c r="AK113" s="20">
        <v>600</v>
      </c>
      <c r="AL113" s="54">
        <f t="shared" si="27"/>
        <v>157.32</v>
      </c>
      <c r="AM113" s="54">
        <f t="shared" si="28"/>
        <v>100.9506708</v>
      </c>
      <c r="AN113" s="33">
        <v>138000</v>
      </c>
      <c r="AO113" s="56">
        <f t="shared" si="29"/>
        <v>37490</v>
      </c>
      <c r="AP113" s="58">
        <f t="shared" si="30"/>
        <v>0.7</v>
      </c>
      <c r="AQ113" s="59">
        <f t="shared" si="31"/>
        <v>2.5666779062969236</v>
      </c>
    </row>
    <row r="114" spans="1:43">
      <c r="A114" s="22" t="s">
        <v>471</v>
      </c>
      <c r="B114" s="22" t="s">
        <v>270</v>
      </c>
      <c r="C114" s="24" t="s">
        <v>26</v>
      </c>
      <c r="D114" s="38">
        <v>1</v>
      </c>
      <c r="E114" s="39" t="s">
        <v>770</v>
      </c>
      <c r="F114" s="40"/>
      <c r="G114" s="41">
        <v>2273</v>
      </c>
      <c r="H114" s="40"/>
      <c r="I114" s="40"/>
      <c r="J114" s="42">
        <v>223</v>
      </c>
      <c r="K114" s="43" t="s">
        <v>116</v>
      </c>
      <c r="L114" s="43" t="s">
        <v>125</v>
      </c>
      <c r="M114" s="42" t="s">
        <v>595</v>
      </c>
      <c r="N114" s="43" t="s">
        <v>49</v>
      </c>
      <c r="O114" s="43" t="s">
        <v>787</v>
      </c>
      <c r="P114" s="44">
        <v>166667</v>
      </c>
      <c r="Q114" s="45" t="s">
        <v>25</v>
      </c>
      <c r="R114" s="45" t="s">
        <v>26</v>
      </c>
      <c r="S114" s="42">
        <v>2031</v>
      </c>
      <c r="T114" s="46">
        <v>47937</v>
      </c>
      <c r="U114" s="47">
        <v>0.64168999999999998</v>
      </c>
      <c r="V114" s="47">
        <v>0.30000000000000004</v>
      </c>
      <c r="W114" s="48">
        <f t="shared" si="23"/>
        <v>0.94169000000000003</v>
      </c>
      <c r="X114" s="47">
        <v>0.05</v>
      </c>
      <c r="Y114" s="47">
        <v>9.0000000000000011E-2</v>
      </c>
      <c r="Z114" s="47">
        <v>6.8000000000000005E-2</v>
      </c>
      <c r="AA114" s="53">
        <v>0.19800000000000001</v>
      </c>
      <c r="AB114" s="47">
        <v>5.8309999999999973E-2</v>
      </c>
      <c r="AC114" s="51">
        <f t="shared" si="33"/>
        <v>262200</v>
      </c>
      <c r="AD114" s="46"/>
      <c r="AE114" s="40">
        <f t="shared" si="24"/>
        <v>0.16666700000000001</v>
      </c>
      <c r="AF114" s="53">
        <f t="shared" si="25"/>
        <v>1.0594139333841852E-3</v>
      </c>
      <c r="AG114" s="55">
        <f t="shared" si="26"/>
        <v>42.738599999999998</v>
      </c>
      <c r="AH114" s="40">
        <v>163</v>
      </c>
      <c r="AI114" s="40">
        <v>230</v>
      </c>
      <c r="AJ114" s="40">
        <v>1140</v>
      </c>
      <c r="AK114" s="40">
        <v>600</v>
      </c>
      <c r="AL114" s="55">
        <f t="shared" si="27"/>
        <v>157.32</v>
      </c>
      <c r="AM114" s="55">
        <f t="shared" si="28"/>
        <v>100.9506708</v>
      </c>
      <c r="AN114" s="49">
        <v>138000</v>
      </c>
      <c r="AO114" s="57">
        <f t="shared" si="29"/>
        <v>37490</v>
      </c>
      <c r="AP114" s="60">
        <f t="shared" si="30"/>
        <v>0.7</v>
      </c>
      <c r="AQ114" s="61">
        <f t="shared" si="31"/>
        <v>2.5666778859574517</v>
      </c>
    </row>
    <row r="115" spans="1:43">
      <c r="A115" s="22" t="s">
        <v>472</v>
      </c>
      <c r="B115" s="22" t="s">
        <v>271</v>
      </c>
      <c r="C115" s="24" t="s">
        <v>400</v>
      </c>
      <c r="D115" s="25">
        <v>1</v>
      </c>
      <c r="E115" s="26" t="s">
        <v>770</v>
      </c>
      <c r="F115" s="20"/>
      <c r="G115" s="27">
        <v>2274</v>
      </c>
      <c r="H115" s="20"/>
      <c r="I115" s="20"/>
      <c r="J115" s="28">
        <v>224</v>
      </c>
      <c r="K115" s="29" t="s">
        <v>116</v>
      </c>
      <c r="L115" s="29" t="s">
        <v>125</v>
      </c>
      <c r="M115" s="28" t="s">
        <v>595</v>
      </c>
      <c r="N115" s="29" t="s">
        <v>126</v>
      </c>
      <c r="O115" s="29" t="s">
        <v>787</v>
      </c>
      <c r="P115" s="37">
        <v>166666.66</v>
      </c>
      <c r="Q115" s="30" t="s">
        <v>78</v>
      </c>
      <c r="R115" s="30" t="s">
        <v>26</v>
      </c>
      <c r="S115" s="28">
        <v>2026</v>
      </c>
      <c r="T115" s="32">
        <v>46295</v>
      </c>
      <c r="U115" s="31">
        <v>0.64168999999999998</v>
      </c>
      <c r="V115" s="31">
        <v>0.30000000000000004</v>
      </c>
      <c r="W115" s="36">
        <f t="shared" si="23"/>
        <v>0.94169000000000003</v>
      </c>
      <c r="X115" s="31">
        <v>0.05</v>
      </c>
      <c r="Y115" s="31">
        <v>0</v>
      </c>
      <c r="Z115" s="31">
        <v>6.8000000000000005E-2</v>
      </c>
      <c r="AA115" s="52">
        <v>0.19800000000000001</v>
      </c>
      <c r="AB115" s="31">
        <v>5.8309999999999973E-2</v>
      </c>
      <c r="AC115" s="50">
        <f t="shared" si="33"/>
        <v>110452.94999999998</v>
      </c>
      <c r="AD115" s="32"/>
      <c r="AE115" s="20">
        <f t="shared" si="24"/>
        <v>0.16666665999999999</v>
      </c>
      <c r="AF115" s="52">
        <f t="shared" si="25"/>
        <v>1.5718104782775535E-3</v>
      </c>
      <c r="AG115" s="54">
        <f t="shared" si="26"/>
        <v>19.881530999999995</v>
      </c>
      <c r="AH115" s="20">
        <v>180</v>
      </c>
      <c r="AI115" s="20">
        <v>205.30288104089217</v>
      </c>
      <c r="AJ115" s="20">
        <v>538</v>
      </c>
      <c r="AK115" s="20">
        <v>960</v>
      </c>
      <c r="AL115" s="54">
        <f t="shared" si="27"/>
        <v>106.03483199999998</v>
      </c>
      <c r="AM115" s="54">
        <f t="shared" si="28"/>
        <v>68.04149134607998</v>
      </c>
      <c r="AN115" s="33">
        <v>197090.76579925648</v>
      </c>
      <c r="AO115" s="56">
        <f t="shared" si="29"/>
        <v>36954.518587360588</v>
      </c>
      <c r="AP115" s="58">
        <f t="shared" si="30"/>
        <v>0.7</v>
      </c>
      <c r="AQ115" s="59">
        <f t="shared" si="31"/>
        <v>3.7022970173569205</v>
      </c>
    </row>
    <row r="116" spans="1:43">
      <c r="A116" s="22" t="s">
        <v>544</v>
      </c>
      <c r="B116" s="22" t="s">
        <v>272</v>
      </c>
      <c r="C116" s="24" t="s">
        <v>26</v>
      </c>
      <c r="D116" s="38">
        <v>1</v>
      </c>
      <c r="E116" s="39" t="s">
        <v>770</v>
      </c>
      <c r="F116" s="40"/>
      <c r="G116" s="41">
        <v>2285</v>
      </c>
      <c r="H116" s="40"/>
      <c r="I116" s="40"/>
      <c r="J116" s="42">
        <v>225</v>
      </c>
      <c r="K116" s="43" t="s">
        <v>116</v>
      </c>
      <c r="L116" s="43" t="s">
        <v>125</v>
      </c>
      <c r="M116" s="42" t="s">
        <v>595</v>
      </c>
      <c r="N116" s="43" t="s">
        <v>24</v>
      </c>
      <c r="O116" s="43" t="s">
        <v>790</v>
      </c>
      <c r="P116" s="44">
        <v>0</v>
      </c>
      <c r="Q116" s="45" t="s">
        <v>25</v>
      </c>
      <c r="R116" s="45" t="s">
        <v>26</v>
      </c>
      <c r="S116" s="42">
        <v>2029</v>
      </c>
      <c r="T116" s="46">
        <v>47299</v>
      </c>
      <c r="U116" s="47">
        <v>0.59585500000000002</v>
      </c>
      <c r="V116" s="47">
        <v>0.35</v>
      </c>
      <c r="W116" s="48">
        <f t="shared" ref="W116:W147" si="34">SUM(U116:V116)</f>
        <v>0.945855</v>
      </c>
      <c r="X116" s="47">
        <v>0.05</v>
      </c>
      <c r="Y116" s="47">
        <v>9.0000000000000011E-2</v>
      </c>
      <c r="Z116" s="47">
        <v>6.8000000000000005E-2</v>
      </c>
      <c r="AA116" s="53">
        <v>0.19800000000000001</v>
      </c>
      <c r="AB116" s="47">
        <v>5.4144999999999999E-2</v>
      </c>
      <c r="AC116" s="51">
        <f t="shared" si="33"/>
        <v>152280</v>
      </c>
      <c r="AD116" s="46"/>
      <c r="AE116" s="40">
        <f t="shared" ref="AE116:AE147" si="35">P116/10^6</f>
        <v>0</v>
      </c>
      <c r="AF116" s="53">
        <f t="shared" ref="AF116:AF147" si="36">IF(AL116=0,0,AE116/AL116)</f>
        <v>0</v>
      </c>
      <c r="AG116" s="55">
        <f t="shared" ref="AG116:AG147" si="37">(AH116*AI116*AJ116)/10^6</f>
        <v>27.410399999999999</v>
      </c>
      <c r="AH116" s="40">
        <v>180</v>
      </c>
      <c r="AI116" s="40">
        <v>220.05780346820808</v>
      </c>
      <c r="AJ116" s="40">
        <v>692</v>
      </c>
      <c r="AK116" s="40">
        <v>817.96690307328595</v>
      </c>
      <c r="AL116" s="55">
        <f t="shared" ref="AL116:AL147" si="38">(AK116*AJ116*AI116)/10^6</f>
        <v>124.55999999999997</v>
      </c>
      <c r="AM116" s="55">
        <f t="shared" ref="AM116:AM147" si="39">AL116*U116</f>
        <v>74.219698799999989</v>
      </c>
      <c r="AN116" s="49">
        <v>179999.99999999997</v>
      </c>
      <c r="AO116" s="57">
        <f t="shared" ref="AO116:AO147" si="40">AH116*AI116</f>
        <v>39610.404624277457</v>
      </c>
      <c r="AP116" s="60">
        <f t="shared" ref="AP116:AP147" si="41">U116+AB116</f>
        <v>0.65</v>
      </c>
      <c r="AQ116" s="61">
        <f t="shared" ref="AQ116:AQ147" si="42">AL116*AP116/(AG116+AE116)</f>
        <v>2.9537693722090879</v>
      </c>
    </row>
    <row r="117" spans="1:43">
      <c r="A117" s="22" t="s">
        <v>473</v>
      </c>
      <c r="B117" s="22" t="s">
        <v>668</v>
      </c>
      <c r="C117" s="24" t="s">
        <v>399</v>
      </c>
      <c r="D117" s="25">
        <v>1</v>
      </c>
      <c r="E117" s="26" t="s">
        <v>770</v>
      </c>
      <c r="F117" s="20"/>
      <c r="G117" s="27">
        <v>2278</v>
      </c>
      <c r="H117" s="20"/>
      <c r="I117" s="20"/>
      <c r="J117" s="28">
        <v>227</v>
      </c>
      <c r="K117" s="29" t="s">
        <v>116</v>
      </c>
      <c r="L117" s="29" t="s">
        <v>604</v>
      </c>
      <c r="M117" s="28" t="s">
        <v>595</v>
      </c>
      <c r="N117" s="29" t="s">
        <v>127</v>
      </c>
      <c r="O117" s="29" t="s">
        <v>790</v>
      </c>
      <c r="P117" s="37">
        <v>0</v>
      </c>
      <c r="Q117" s="30" t="s">
        <v>25</v>
      </c>
      <c r="R117" s="30" t="s">
        <v>789</v>
      </c>
      <c r="S117" s="28">
        <v>2027</v>
      </c>
      <c r="T117" s="32">
        <v>46660</v>
      </c>
      <c r="U117" s="31">
        <v>0.59585500000000002</v>
      </c>
      <c r="V117" s="31">
        <v>0.35</v>
      </c>
      <c r="W117" s="36">
        <f t="shared" si="34"/>
        <v>0.945855</v>
      </c>
      <c r="X117" s="31">
        <v>0.05</v>
      </c>
      <c r="Y117" s="31">
        <v>9.0000000000000011E-2</v>
      </c>
      <c r="Z117" s="31">
        <v>6.8000000000000005E-2</v>
      </c>
      <c r="AA117" s="52">
        <v>0.19800000000000001</v>
      </c>
      <c r="AB117" s="31">
        <v>5.4144999999999999E-2</v>
      </c>
      <c r="AC117" s="50">
        <f t="shared" si="33"/>
        <v>92745.21</v>
      </c>
      <c r="AD117" s="32"/>
      <c r="AE117" s="20">
        <f t="shared" si="35"/>
        <v>0</v>
      </c>
      <c r="AF117" s="52">
        <f t="shared" si="36"/>
        <v>0</v>
      </c>
      <c r="AG117" s="54">
        <f t="shared" si="37"/>
        <v>15.117469230000003</v>
      </c>
      <c r="AH117" s="20">
        <v>163</v>
      </c>
      <c r="AI117" s="20">
        <v>2727.8002941176474</v>
      </c>
      <c r="AJ117" s="20">
        <v>34</v>
      </c>
      <c r="AK117" s="20">
        <v>1000</v>
      </c>
      <c r="AL117" s="54">
        <f t="shared" si="38"/>
        <v>92.745210000000014</v>
      </c>
      <c r="AM117" s="54">
        <f t="shared" si="39"/>
        <v>55.262697104550014</v>
      </c>
      <c r="AN117" s="33">
        <v>2727800.2941176472</v>
      </c>
      <c r="AO117" s="56">
        <f t="shared" si="40"/>
        <v>444631.44794117654</v>
      </c>
      <c r="AP117" s="58">
        <f t="shared" si="41"/>
        <v>0.65</v>
      </c>
      <c r="AQ117" s="59">
        <f t="shared" si="42"/>
        <v>3.9877300613496933</v>
      </c>
    </row>
    <row r="118" spans="1:43">
      <c r="A118" s="22" t="s">
        <v>473</v>
      </c>
      <c r="B118" s="22" t="s">
        <v>669</v>
      </c>
      <c r="C118" s="24" t="s">
        <v>399</v>
      </c>
      <c r="D118" s="38">
        <v>1</v>
      </c>
      <c r="E118" s="39" t="s">
        <v>770</v>
      </c>
      <c r="F118" s="40"/>
      <c r="G118" s="41">
        <v>2278</v>
      </c>
      <c r="H118" s="40"/>
      <c r="I118" s="40"/>
      <c r="J118" s="42">
        <v>228</v>
      </c>
      <c r="K118" s="43" t="s">
        <v>116</v>
      </c>
      <c r="L118" s="43" t="s">
        <v>604</v>
      </c>
      <c r="M118" s="42" t="s">
        <v>595</v>
      </c>
      <c r="N118" s="43" t="s">
        <v>48</v>
      </c>
      <c r="O118" s="43" t="s">
        <v>790</v>
      </c>
      <c r="P118" s="44">
        <v>0</v>
      </c>
      <c r="Q118" s="45" t="s">
        <v>25</v>
      </c>
      <c r="R118" s="45" t="s">
        <v>26</v>
      </c>
      <c r="S118" s="42">
        <v>2029</v>
      </c>
      <c r="T118" s="46">
        <v>47483</v>
      </c>
      <c r="U118" s="47">
        <v>0.59585500000000002</v>
      </c>
      <c r="V118" s="47">
        <v>0.35</v>
      </c>
      <c r="W118" s="48">
        <f t="shared" si="34"/>
        <v>0.945855</v>
      </c>
      <c r="X118" s="47">
        <v>0.05</v>
      </c>
      <c r="Y118" s="47">
        <v>9.0000000000000011E-2</v>
      </c>
      <c r="Z118" s="47">
        <v>6.8000000000000005E-2</v>
      </c>
      <c r="AA118" s="53">
        <v>0.19800000000000001</v>
      </c>
      <c r="AB118" s="47">
        <v>5.4144999999999999E-2</v>
      </c>
      <c r="AC118" s="51">
        <f t="shared" si="33"/>
        <v>220800</v>
      </c>
      <c r="AD118" s="46"/>
      <c r="AE118" s="40">
        <f t="shared" si="35"/>
        <v>0</v>
      </c>
      <c r="AF118" s="53">
        <f t="shared" si="36"/>
        <v>0</v>
      </c>
      <c r="AG118" s="55">
        <f t="shared" si="37"/>
        <v>35.990400000000001</v>
      </c>
      <c r="AH118" s="40">
        <v>163</v>
      </c>
      <c r="AI118" s="40">
        <v>276</v>
      </c>
      <c r="AJ118" s="40">
        <v>800</v>
      </c>
      <c r="AK118" s="40">
        <v>650</v>
      </c>
      <c r="AL118" s="55">
        <f t="shared" si="38"/>
        <v>143.52000000000001</v>
      </c>
      <c r="AM118" s="55">
        <f t="shared" si="39"/>
        <v>85.517109600000012</v>
      </c>
      <c r="AN118" s="49">
        <v>179400</v>
      </c>
      <c r="AO118" s="57">
        <f t="shared" si="40"/>
        <v>44988</v>
      </c>
      <c r="AP118" s="60">
        <f t="shared" si="41"/>
        <v>0.65</v>
      </c>
      <c r="AQ118" s="61">
        <f t="shared" si="42"/>
        <v>2.592024539877301</v>
      </c>
    </row>
    <row r="119" spans="1:43">
      <c r="A119" s="22" t="s">
        <v>473</v>
      </c>
      <c r="B119" s="22" t="s">
        <v>670</v>
      </c>
      <c r="C119" s="24" t="s">
        <v>399</v>
      </c>
      <c r="D119" s="25">
        <v>1</v>
      </c>
      <c r="E119" s="26" t="s">
        <v>770</v>
      </c>
      <c r="F119" s="20"/>
      <c r="G119" s="27">
        <v>2278</v>
      </c>
      <c r="H119" s="20"/>
      <c r="I119" s="20"/>
      <c r="J119" s="28">
        <v>229</v>
      </c>
      <c r="K119" s="29" t="s">
        <v>116</v>
      </c>
      <c r="L119" s="29" t="s">
        <v>604</v>
      </c>
      <c r="M119" s="28" t="s">
        <v>595</v>
      </c>
      <c r="N119" s="29" t="s">
        <v>49</v>
      </c>
      <c r="O119" s="29" t="s">
        <v>790</v>
      </c>
      <c r="P119" s="37">
        <v>0</v>
      </c>
      <c r="Q119" s="30" t="s">
        <v>25</v>
      </c>
      <c r="R119" s="30" t="s">
        <v>26</v>
      </c>
      <c r="S119" s="28">
        <v>2031</v>
      </c>
      <c r="T119" s="32">
        <v>48213</v>
      </c>
      <c r="U119" s="31">
        <v>0.59585500000000002</v>
      </c>
      <c r="V119" s="31">
        <v>0.35</v>
      </c>
      <c r="W119" s="36">
        <f t="shared" si="34"/>
        <v>0.945855</v>
      </c>
      <c r="X119" s="31">
        <v>0.05</v>
      </c>
      <c r="Y119" s="31">
        <v>9.0000000000000011E-2</v>
      </c>
      <c r="Z119" s="31">
        <v>6.8000000000000005E-2</v>
      </c>
      <c r="AA119" s="52">
        <v>0.19800000000000001</v>
      </c>
      <c r="AB119" s="31">
        <v>5.4144999999999999E-2</v>
      </c>
      <c r="AC119" s="50">
        <f t="shared" si="33"/>
        <v>220800</v>
      </c>
      <c r="AD119" s="32"/>
      <c r="AE119" s="20">
        <f t="shared" si="35"/>
        <v>0</v>
      </c>
      <c r="AF119" s="52">
        <f t="shared" si="36"/>
        <v>0</v>
      </c>
      <c r="AG119" s="54">
        <f t="shared" si="37"/>
        <v>35.990400000000001</v>
      </c>
      <c r="AH119" s="20">
        <v>163</v>
      </c>
      <c r="AI119" s="20">
        <v>276</v>
      </c>
      <c r="AJ119" s="20">
        <v>800</v>
      </c>
      <c r="AK119" s="20">
        <v>650</v>
      </c>
      <c r="AL119" s="54">
        <f t="shared" si="38"/>
        <v>143.52000000000001</v>
      </c>
      <c r="AM119" s="54">
        <f t="shared" si="39"/>
        <v>85.517109600000012</v>
      </c>
      <c r="AN119" s="33">
        <v>179400</v>
      </c>
      <c r="AO119" s="56">
        <f t="shared" si="40"/>
        <v>44988</v>
      </c>
      <c r="AP119" s="58">
        <f t="shared" si="41"/>
        <v>0.65</v>
      </c>
      <c r="AQ119" s="59">
        <f t="shared" si="42"/>
        <v>2.592024539877301</v>
      </c>
    </row>
    <row r="120" spans="1:43">
      <c r="A120" s="22" t="s">
        <v>473</v>
      </c>
      <c r="B120" s="22" t="s">
        <v>671</v>
      </c>
      <c r="C120" s="24" t="s">
        <v>399</v>
      </c>
      <c r="D120" s="38">
        <v>1</v>
      </c>
      <c r="E120" s="39" t="s">
        <v>770</v>
      </c>
      <c r="F120" s="40"/>
      <c r="G120" s="41">
        <v>2278</v>
      </c>
      <c r="H120" s="40"/>
      <c r="I120" s="40"/>
      <c r="J120" s="42">
        <v>230</v>
      </c>
      <c r="K120" s="43" t="s">
        <v>116</v>
      </c>
      <c r="L120" s="43" t="s">
        <v>604</v>
      </c>
      <c r="M120" s="42" t="s">
        <v>595</v>
      </c>
      <c r="N120" s="43" t="s">
        <v>50</v>
      </c>
      <c r="O120" s="43" t="s">
        <v>790</v>
      </c>
      <c r="P120" s="44">
        <v>0</v>
      </c>
      <c r="Q120" s="45" t="s">
        <v>25</v>
      </c>
      <c r="R120" s="45" t="s">
        <v>26</v>
      </c>
      <c r="S120" s="42">
        <v>2033</v>
      </c>
      <c r="T120" s="46">
        <v>48944</v>
      </c>
      <c r="U120" s="47">
        <v>0.59585500000000002</v>
      </c>
      <c r="V120" s="47">
        <v>0.35</v>
      </c>
      <c r="W120" s="48">
        <f t="shared" si="34"/>
        <v>0.945855</v>
      </c>
      <c r="X120" s="47">
        <v>0.05</v>
      </c>
      <c r="Y120" s="47">
        <v>9.0000000000000011E-2</v>
      </c>
      <c r="Z120" s="47">
        <v>6.8000000000000005E-2</v>
      </c>
      <c r="AA120" s="53">
        <v>0.19800000000000001</v>
      </c>
      <c r="AB120" s="47">
        <v>5.4144999999999999E-2</v>
      </c>
      <c r="AC120" s="51">
        <f t="shared" si="33"/>
        <v>220800</v>
      </c>
      <c r="AD120" s="46"/>
      <c r="AE120" s="40">
        <f t="shared" si="35"/>
        <v>0</v>
      </c>
      <c r="AF120" s="53">
        <f t="shared" si="36"/>
        <v>0</v>
      </c>
      <c r="AG120" s="55">
        <f t="shared" si="37"/>
        <v>35.990400000000001</v>
      </c>
      <c r="AH120" s="40">
        <v>163</v>
      </c>
      <c r="AI120" s="40">
        <v>276</v>
      </c>
      <c r="AJ120" s="40">
        <v>800</v>
      </c>
      <c r="AK120" s="40">
        <v>650</v>
      </c>
      <c r="AL120" s="55">
        <f t="shared" si="38"/>
        <v>143.52000000000001</v>
      </c>
      <c r="AM120" s="55">
        <f t="shared" si="39"/>
        <v>85.517109600000012</v>
      </c>
      <c r="AN120" s="49">
        <v>179400</v>
      </c>
      <c r="AO120" s="57">
        <f t="shared" si="40"/>
        <v>44988</v>
      </c>
      <c r="AP120" s="60">
        <f t="shared" si="41"/>
        <v>0.65</v>
      </c>
      <c r="AQ120" s="61">
        <f t="shared" si="42"/>
        <v>2.592024539877301</v>
      </c>
    </row>
    <row r="121" spans="1:43">
      <c r="A121" s="22" t="s">
        <v>474</v>
      </c>
      <c r="B121" s="22" t="s">
        <v>273</v>
      </c>
      <c r="C121" s="24" t="s">
        <v>398</v>
      </c>
      <c r="D121" s="25">
        <v>1</v>
      </c>
      <c r="E121" s="26" t="s">
        <v>770</v>
      </c>
      <c r="F121" s="20"/>
      <c r="G121" s="27">
        <v>2275</v>
      </c>
      <c r="H121" s="20"/>
      <c r="I121" s="20"/>
      <c r="J121" s="28">
        <v>231</v>
      </c>
      <c r="K121" s="29" t="s">
        <v>116</v>
      </c>
      <c r="L121" s="29" t="s">
        <v>128</v>
      </c>
      <c r="M121" s="28" t="s">
        <v>595</v>
      </c>
      <c r="N121" s="29" t="s">
        <v>129</v>
      </c>
      <c r="O121" s="29" t="s">
        <v>786</v>
      </c>
      <c r="P121" s="37">
        <v>6273440.5999999996</v>
      </c>
      <c r="Q121" s="30" t="s">
        <v>78</v>
      </c>
      <c r="R121" s="30" t="s">
        <v>26</v>
      </c>
      <c r="S121" s="28">
        <v>2027</v>
      </c>
      <c r="T121" s="32">
        <v>46660</v>
      </c>
      <c r="U121" s="31">
        <v>0.57336200000000004</v>
      </c>
      <c r="V121" s="31">
        <v>0.1399999999999999</v>
      </c>
      <c r="W121" s="36">
        <f t="shared" si="34"/>
        <v>0.71336199999999994</v>
      </c>
      <c r="X121" s="31">
        <v>0.05</v>
      </c>
      <c r="Y121" s="31">
        <v>0</v>
      </c>
      <c r="Z121" s="31">
        <v>6.8000000000000005E-2</v>
      </c>
      <c r="AA121" s="52">
        <v>0.19800000000000001</v>
      </c>
      <c r="AB121" s="31">
        <v>0.28663800000000006</v>
      </c>
      <c r="AC121" s="50">
        <f t="shared" si="33"/>
        <v>135500</v>
      </c>
      <c r="AD121" s="32"/>
      <c r="AE121" s="20">
        <f t="shared" si="35"/>
        <v>6.2734405999999998</v>
      </c>
      <c r="AF121" s="52">
        <f t="shared" si="36"/>
        <v>4.2089504193223749E-2</v>
      </c>
      <c r="AG121" s="54">
        <f t="shared" si="37"/>
        <v>40.649999999999991</v>
      </c>
      <c r="AH121" s="20">
        <v>300</v>
      </c>
      <c r="AI121" s="20">
        <v>180.18617021276594</v>
      </c>
      <c r="AJ121" s="20">
        <v>752</v>
      </c>
      <c r="AK121" s="20">
        <v>1100</v>
      </c>
      <c r="AL121" s="54">
        <f t="shared" si="38"/>
        <v>149.05000000000001</v>
      </c>
      <c r="AM121" s="54">
        <f t="shared" si="39"/>
        <v>85.459606100000016</v>
      </c>
      <c r="AN121" s="33">
        <v>198204.78723404254</v>
      </c>
      <c r="AO121" s="56">
        <f t="shared" si="40"/>
        <v>54055.851063829781</v>
      </c>
      <c r="AP121" s="58">
        <f t="shared" si="41"/>
        <v>0.8600000000000001</v>
      </c>
      <c r="AQ121" s="59">
        <f t="shared" si="42"/>
        <v>2.7317476800710141</v>
      </c>
    </row>
    <row r="122" spans="1:43">
      <c r="A122" s="22" t="s">
        <v>475</v>
      </c>
      <c r="B122" s="22" t="s">
        <v>274</v>
      </c>
      <c r="C122" s="24" t="s">
        <v>398</v>
      </c>
      <c r="D122" s="38">
        <v>1</v>
      </c>
      <c r="E122" s="39" t="s">
        <v>770</v>
      </c>
      <c r="F122" s="40"/>
      <c r="G122" s="41">
        <v>2276</v>
      </c>
      <c r="H122" s="40"/>
      <c r="I122" s="40"/>
      <c r="J122" s="42">
        <v>232</v>
      </c>
      <c r="K122" s="43" t="s">
        <v>116</v>
      </c>
      <c r="L122" s="43" t="s">
        <v>128</v>
      </c>
      <c r="M122" s="42" t="s">
        <v>595</v>
      </c>
      <c r="N122" s="43" t="s">
        <v>24</v>
      </c>
      <c r="O122" s="43" t="s">
        <v>786</v>
      </c>
      <c r="P122" s="44">
        <v>6273440.5999999996</v>
      </c>
      <c r="Q122" s="45" t="s">
        <v>25</v>
      </c>
      <c r="R122" s="45" t="s">
        <v>26</v>
      </c>
      <c r="S122" s="42">
        <v>2029</v>
      </c>
      <c r="T122" s="46">
        <v>47391</v>
      </c>
      <c r="U122" s="47">
        <v>0.57336200000000004</v>
      </c>
      <c r="V122" s="47">
        <v>0.1399999999999999</v>
      </c>
      <c r="W122" s="48">
        <f t="shared" si="34"/>
        <v>0.71336199999999994</v>
      </c>
      <c r="X122" s="47">
        <v>0.05</v>
      </c>
      <c r="Y122" s="47">
        <v>0</v>
      </c>
      <c r="Z122" s="47">
        <v>6.8000000000000005E-2</v>
      </c>
      <c r="AA122" s="53">
        <v>0.19800000000000001</v>
      </c>
      <c r="AB122" s="47">
        <v>0.28663800000000006</v>
      </c>
      <c r="AC122" s="51">
        <f t="shared" si="33"/>
        <v>95400</v>
      </c>
      <c r="AD122" s="46"/>
      <c r="AE122" s="40">
        <f t="shared" si="35"/>
        <v>6.2734405999999998</v>
      </c>
      <c r="AF122" s="53">
        <f t="shared" si="36"/>
        <v>0.10959889238294898</v>
      </c>
      <c r="AG122" s="55">
        <f t="shared" si="37"/>
        <v>15.5502</v>
      </c>
      <c r="AH122" s="40">
        <v>163</v>
      </c>
      <c r="AI122" s="40">
        <v>180</v>
      </c>
      <c r="AJ122" s="40">
        <v>530</v>
      </c>
      <c r="AK122" s="40">
        <v>600</v>
      </c>
      <c r="AL122" s="55">
        <f t="shared" si="38"/>
        <v>57.24</v>
      </c>
      <c r="AM122" s="55">
        <f t="shared" si="39"/>
        <v>32.819240880000002</v>
      </c>
      <c r="AN122" s="49">
        <v>108000</v>
      </c>
      <c r="AO122" s="57">
        <f t="shared" si="40"/>
        <v>29340</v>
      </c>
      <c r="AP122" s="60">
        <f t="shared" si="41"/>
        <v>0.8600000000000001</v>
      </c>
      <c r="AQ122" s="61">
        <f t="shared" si="42"/>
        <v>2.2556456506161489</v>
      </c>
    </row>
    <row r="123" spans="1:43">
      <c r="A123" s="22" t="s">
        <v>477</v>
      </c>
      <c r="B123" s="22" t="s">
        <v>275</v>
      </c>
      <c r="C123" s="24" t="s">
        <v>397</v>
      </c>
      <c r="D123" s="25">
        <v>1</v>
      </c>
      <c r="E123" s="26" t="s">
        <v>770</v>
      </c>
      <c r="F123" s="20"/>
      <c r="G123" s="27">
        <v>2287</v>
      </c>
      <c r="H123" s="20"/>
      <c r="I123" s="20"/>
      <c r="J123" s="28">
        <v>233</v>
      </c>
      <c r="K123" s="29" t="s">
        <v>116</v>
      </c>
      <c r="L123" s="29" t="s">
        <v>130</v>
      </c>
      <c r="M123" s="28" t="s">
        <v>595</v>
      </c>
      <c r="N123" s="29" t="s">
        <v>131</v>
      </c>
      <c r="O123" s="29" t="s">
        <v>790</v>
      </c>
      <c r="P123" s="37">
        <v>0</v>
      </c>
      <c r="Q123" s="30" t="s">
        <v>25</v>
      </c>
      <c r="R123" s="30" t="s">
        <v>789</v>
      </c>
      <c r="S123" s="28">
        <v>2027</v>
      </c>
      <c r="T123" s="32">
        <v>46752</v>
      </c>
      <c r="U123" s="31">
        <v>0.46668999999999994</v>
      </c>
      <c r="V123" s="31">
        <v>0.30000000000000004</v>
      </c>
      <c r="W123" s="36">
        <f t="shared" si="34"/>
        <v>0.76668999999999998</v>
      </c>
      <c r="X123" s="31">
        <v>0.05</v>
      </c>
      <c r="Y123" s="31">
        <v>9.0000000000000011E-2</v>
      </c>
      <c r="Z123" s="31">
        <v>6.8000000000000005E-2</v>
      </c>
      <c r="AA123" s="52">
        <v>0.19800000000000001</v>
      </c>
      <c r="AB123" s="31">
        <v>0.23331000000000002</v>
      </c>
      <c r="AC123" s="50">
        <f t="shared" si="33"/>
        <v>83878.720000000001</v>
      </c>
      <c r="AD123" s="32"/>
      <c r="AE123" s="20">
        <f t="shared" si="35"/>
        <v>0</v>
      </c>
      <c r="AF123" s="52">
        <f t="shared" si="36"/>
        <v>0</v>
      </c>
      <c r="AG123" s="54">
        <f t="shared" si="37"/>
        <v>15.0981696</v>
      </c>
      <c r="AH123" s="20">
        <v>180</v>
      </c>
      <c r="AI123" s="20">
        <v>227.93130434782609</v>
      </c>
      <c r="AJ123" s="20">
        <v>368</v>
      </c>
      <c r="AK123" s="20">
        <v>900</v>
      </c>
      <c r="AL123" s="54">
        <f t="shared" si="38"/>
        <v>75.490848</v>
      </c>
      <c r="AM123" s="54">
        <f t="shared" si="39"/>
        <v>35.230823853119993</v>
      </c>
      <c r="AN123" s="33">
        <v>205138.17391304349</v>
      </c>
      <c r="AO123" s="56">
        <f t="shared" si="40"/>
        <v>41027.634782608693</v>
      </c>
      <c r="AP123" s="58">
        <f t="shared" si="41"/>
        <v>0.7</v>
      </c>
      <c r="AQ123" s="59">
        <f t="shared" si="42"/>
        <v>3.5</v>
      </c>
    </row>
    <row r="124" spans="1:43">
      <c r="A124" s="22" t="s">
        <v>477</v>
      </c>
      <c r="B124" s="22" t="s">
        <v>276</v>
      </c>
      <c r="C124" s="24" t="s">
        <v>397</v>
      </c>
      <c r="D124" s="38">
        <v>1</v>
      </c>
      <c r="E124" s="39" t="s">
        <v>770</v>
      </c>
      <c r="F124" s="40"/>
      <c r="G124" s="41">
        <v>2287</v>
      </c>
      <c r="H124" s="40"/>
      <c r="I124" s="40"/>
      <c r="J124" s="42">
        <v>234</v>
      </c>
      <c r="K124" s="43" t="s">
        <v>116</v>
      </c>
      <c r="L124" s="43" t="s">
        <v>130</v>
      </c>
      <c r="M124" s="42" t="s">
        <v>595</v>
      </c>
      <c r="N124" s="43" t="s">
        <v>48</v>
      </c>
      <c r="O124" s="43" t="s">
        <v>790</v>
      </c>
      <c r="P124" s="44">
        <v>0</v>
      </c>
      <c r="Q124" s="45" t="s">
        <v>25</v>
      </c>
      <c r="R124" s="45" t="s">
        <v>26</v>
      </c>
      <c r="S124" s="42">
        <v>2028</v>
      </c>
      <c r="T124" s="46">
        <v>47118</v>
      </c>
      <c r="U124" s="47">
        <v>0.46668999999999994</v>
      </c>
      <c r="V124" s="47">
        <v>0.30000000000000004</v>
      </c>
      <c r="W124" s="48">
        <f t="shared" si="34"/>
        <v>0.76668999999999998</v>
      </c>
      <c r="X124" s="47">
        <v>0.05</v>
      </c>
      <c r="Y124" s="47">
        <v>9.0000000000000011E-2</v>
      </c>
      <c r="Z124" s="47">
        <v>6.8000000000000005E-2</v>
      </c>
      <c r="AA124" s="53">
        <v>0.19800000000000001</v>
      </c>
      <c r="AB124" s="47">
        <v>0.23331000000000002</v>
      </c>
      <c r="AC124" s="51">
        <f t="shared" si="33"/>
        <v>156694.1887</v>
      </c>
      <c r="AD124" s="46"/>
      <c r="AE124" s="40">
        <f t="shared" si="35"/>
        <v>0</v>
      </c>
      <c r="AF124" s="53">
        <f t="shared" si="36"/>
        <v>0</v>
      </c>
      <c r="AG124" s="55">
        <f t="shared" si="37"/>
        <v>28.204953966000001</v>
      </c>
      <c r="AH124" s="40">
        <v>180</v>
      </c>
      <c r="AI124" s="40">
        <v>234.22150777279521</v>
      </c>
      <c r="AJ124" s="40">
        <v>669</v>
      </c>
      <c r="AK124" s="40">
        <v>900.00000000000011</v>
      </c>
      <c r="AL124" s="55">
        <f t="shared" si="38"/>
        <v>141.02476983000003</v>
      </c>
      <c r="AM124" s="55">
        <f t="shared" si="39"/>
        <v>65.814849831962704</v>
      </c>
      <c r="AN124" s="49">
        <v>210799.3569955157</v>
      </c>
      <c r="AO124" s="57">
        <f t="shared" si="40"/>
        <v>42159.87139910314</v>
      </c>
      <c r="AP124" s="60">
        <f t="shared" si="41"/>
        <v>0.7</v>
      </c>
      <c r="AQ124" s="61">
        <f t="shared" si="42"/>
        <v>3.5000000000000004</v>
      </c>
    </row>
    <row r="125" spans="1:43">
      <c r="A125" s="22" t="s">
        <v>477</v>
      </c>
      <c r="B125" s="22" t="s">
        <v>277</v>
      </c>
      <c r="C125" s="24" t="s">
        <v>397</v>
      </c>
      <c r="D125" s="25">
        <v>1</v>
      </c>
      <c r="E125" s="26" t="s">
        <v>770</v>
      </c>
      <c r="F125" s="20"/>
      <c r="G125" s="27">
        <v>2287</v>
      </c>
      <c r="H125" s="20"/>
      <c r="I125" s="20"/>
      <c r="J125" s="28">
        <v>235</v>
      </c>
      <c r="K125" s="29" t="s">
        <v>116</v>
      </c>
      <c r="L125" s="29" t="s">
        <v>130</v>
      </c>
      <c r="M125" s="28" t="s">
        <v>595</v>
      </c>
      <c r="N125" s="29" t="s">
        <v>49</v>
      </c>
      <c r="O125" s="29" t="s">
        <v>790</v>
      </c>
      <c r="P125" s="37">
        <v>0</v>
      </c>
      <c r="Q125" s="30" t="s">
        <v>25</v>
      </c>
      <c r="R125" s="30" t="s">
        <v>26</v>
      </c>
      <c r="S125" s="28">
        <v>2030</v>
      </c>
      <c r="T125" s="32">
        <v>47848</v>
      </c>
      <c r="U125" s="31">
        <v>0.46668999999999994</v>
      </c>
      <c r="V125" s="31">
        <v>0.30000000000000004</v>
      </c>
      <c r="W125" s="36">
        <f t="shared" si="34"/>
        <v>0.76668999999999998</v>
      </c>
      <c r="X125" s="31">
        <v>0.05</v>
      </c>
      <c r="Y125" s="31">
        <v>9.0000000000000011E-2</v>
      </c>
      <c r="Z125" s="31">
        <v>6.8000000000000005E-2</v>
      </c>
      <c r="AA125" s="52">
        <v>0.19800000000000001</v>
      </c>
      <c r="AB125" s="31">
        <v>0.23331000000000002</v>
      </c>
      <c r="AC125" s="50">
        <f t="shared" si="33"/>
        <v>156694.1887</v>
      </c>
      <c r="AD125" s="32"/>
      <c r="AE125" s="20">
        <f t="shared" si="35"/>
        <v>0</v>
      </c>
      <c r="AF125" s="52">
        <f t="shared" si="36"/>
        <v>0</v>
      </c>
      <c r="AG125" s="54">
        <f t="shared" si="37"/>
        <v>28.204953966000001</v>
      </c>
      <c r="AH125" s="20">
        <v>180</v>
      </c>
      <c r="AI125" s="20">
        <v>234.22150777279521</v>
      </c>
      <c r="AJ125" s="20">
        <v>669</v>
      </c>
      <c r="AK125" s="20">
        <v>900.00000000000011</v>
      </c>
      <c r="AL125" s="54">
        <f t="shared" si="38"/>
        <v>141.02476983000003</v>
      </c>
      <c r="AM125" s="54">
        <f t="shared" si="39"/>
        <v>65.814849831962704</v>
      </c>
      <c r="AN125" s="33">
        <v>210799.3569955157</v>
      </c>
      <c r="AO125" s="56">
        <f t="shared" si="40"/>
        <v>42159.87139910314</v>
      </c>
      <c r="AP125" s="58">
        <f t="shared" si="41"/>
        <v>0.7</v>
      </c>
      <c r="AQ125" s="59">
        <f t="shared" si="42"/>
        <v>3.5000000000000004</v>
      </c>
    </row>
    <row r="126" spans="1:43">
      <c r="A126" s="22" t="s">
        <v>478</v>
      </c>
      <c r="B126" s="22" t="s">
        <v>672</v>
      </c>
      <c r="C126" s="24" t="s">
        <v>396</v>
      </c>
      <c r="D126" s="38">
        <v>1</v>
      </c>
      <c r="E126" s="39" t="s">
        <v>770</v>
      </c>
      <c r="F126" s="40"/>
      <c r="G126" s="41">
        <v>2269</v>
      </c>
      <c r="H126" s="40"/>
      <c r="I126" s="40"/>
      <c r="J126" s="42">
        <v>238</v>
      </c>
      <c r="K126" s="43" t="s">
        <v>116</v>
      </c>
      <c r="L126" s="43" t="s">
        <v>132</v>
      </c>
      <c r="M126" s="42" t="s">
        <v>595</v>
      </c>
      <c r="N126" s="43" t="s">
        <v>24</v>
      </c>
      <c r="O126" s="43" t="s">
        <v>790</v>
      </c>
      <c r="P126" s="44">
        <v>0</v>
      </c>
      <c r="Q126" s="45" t="s">
        <v>25</v>
      </c>
      <c r="R126" s="45" t="s">
        <v>789</v>
      </c>
      <c r="S126" s="42">
        <v>2028</v>
      </c>
      <c r="T126" s="46">
        <v>46934</v>
      </c>
      <c r="U126" s="47">
        <v>0.6875</v>
      </c>
      <c r="V126" s="47">
        <v>0.25</v>
      </c>
      <c r="W126" s="48">
        <f t="shared" si="34"/>
        <v>0.9375</v>
      </c>
      <c r="X126" s="47">
        <v>0.05</v>
      </c>
      <c r="Y126" s="47">
        <v>0</v>
      </c>
      <c r="Z126" s="47">
        <v>6.8000000000000005E-2</v>
      </c>
      <c r="AA126" s="53">
        <v>0.19800000000000001</v>
      </c>
      <c r="AB126" s="47">
        <v>6.25E-2</v>
      </c>
      <c r="AC126" s="51">
        <f t="shared" si="33"/>
        <v>241875</v>
      </c>
      <c r="AD126" s="46"/>
      <c r="AE126" s="40">
        <f t="shared" si="35"/>
        <v>0</v>
      </c>
      <c r="AF126" s="53">
        <f t="shared" si="36"/>
        <v>0</v>
      </c>
      <c r="AG126" s="55">
        <f t="shared" si="37"/>
        <v>39.425624999999997</v>
      </c>
      <c r="AH126" s="40">
        <v>163</v>
      </c>
      <c r="AI126" s="40">
        <v>250.12926577042398</v>
      </c>
      <c r="AJ126" s="40">
        <v>967</v>
      </c>
      <c r="AK126" s="40">
        <v>800</v>
      </c>
      <c r="AL126" s="55">
        <f t="shared" si="38"/>
        <v>193.5</v>
      </c>
      <c r="AM126" s="55">
        <f t="shared" si="39"/>
        <v>133.03125</v>
      </c>
      <c r="AN126" s="49">
        <v>200103.41261633919</v>
      </c>
      <c r="AO126" s="57">
        <f t="shared" si="40"/>
        <v>40771.070320579107</v>
      </c>
      <c r="AP126" s="60">
        <f t="shared" si="41"/>
        <v>0.75</v>
      </c>
      <c r="AQ126" s="61">
        <f t="shared" si="42"/>
        <v>3.680981595092025</v>
      </c>
    </row>
    <row r="127" spans="1:43">
      <c r="A127" s="22" t="s">
        <v>478</v>
      </c>
      <c r="B127" s="22" t="s">
        <v>673</v>
      </c>
      <c r="C127" s="24" t="s">
        <v>396</v>
      </c>
      <c r="D127" s="25">
        <v>1</v>
      </c>
      <c r="E127" s="26" t="s">
        <v>770</v>
      </c>
      <c r="F127" s="20"/>
      <c r="G127" s="27">
        <v>2269</v>
      </c>
      <c r="H127" s="20"/>
      <c r="I127" s="20"/>
      <c r="J127" s="28">
        <v>239</v>
      </c>
      <c r="K127" s="29" t="s">
        <v>116</v>
      </c>
      <c r="L127" s="29" t="s">
        <v>132</v>
      </c>
      <c r="M127" s="28" t="s">
        <v>595</v>
      </c>
      <c r="N127" s="29" t="s">
        <v>24</v>
      </c>
      <c r="O127" s="29" t="s">
        <v>790</v>
      </c>
      <c r="P127" s="37">
        <v>0</v>
      </c>
      <c r="Q127" s="30" t="s">
        <v>25</v>
      </c>
      <c r="R127" s="30" t="s">
        <v>789</v>
      </c>
      <c r="S127" s="28">
        <v>2030</v>
      </c>
      <c r="T127" s="32">
        <v>47664</v>
      </c>
      <c r="U127" s="31">
        <v>0.6875</v>
      </c>
      <c r="V127" s="31">
        <v>0.25</v>
      </c>
      <c r="W127" s="36">
        <f t="shared" si="34"/>
        <v>0.9375</v>
      </c>
      <c r="X127" s="31">
        <v>0.05</v>
      </c>
      <c r="Y127" s="31">
        <v>0</v>
      </c>
      <c r="Z127" s="31">
        <v>6.8000000000000005E-2</v>
      </c>
      <c r="AA127" s="52">
        <v>0.19800000000000001</v>
      </c>
      <c r="AB127" s="31">
        <v>6.25E-2</v>
      </c>
      <c r="AC127" s="50">
        <f t="shared" ref="AC127:AC152" si="43">AI127*AJ127</f>
        <v>241875</v>
      </c>
      <c r="AD127" s="32"/>
      <c r="AE127" s="20">
        <f t="shared" si="35"/>
        <v>0</v>
      </c>
      <c r="AF127" s="52">
        <f t="shared" si="36"/>
        <v>0</v>
      </c>
      <c r="AG127" s="54">
        <f t="shared" si="37"/>
        <v>39.425624999999997</v>
      </c>
      <c r="AH127" s="20">
        <v>163</v>
      </c>
      <c r="AI127" s="20">
        <v>249.87086776859505</v>
      </c>
      <c r="AJ127" s="20">
        <v>968</v>
      </c>
      <c r="AK127" s="20">
        <v>800</v>
      </c>
      <c r="AL127" s="54">
        <f t="shared" si="38"/>
        <v>193.5</v>
      </c>
      <c r="AM127" s="54">
        <f t="shared" si="39"/>
        <v>133.03125</v>
      </c>
      <c r="AN127" s="33">
        <v>199896.69421487604</v>
      </c>
      <c r="AO127" s="56">
        <f t="shared" si="40"/>
        <v>40728.951446280989</v>
      </c>
      <c r="AP127" s="58">
        <f t="shared" si="41"/>
        <v>0.75</v>
      </c>
      <c r="AQ127" s="59">
        <f t="shared" si="42"/>
        <v>3.680981595092025</v>
      </c>
    </row>
    <row r="128" spans="1:43">
      <c r="A128" s="22" t="s">
        <v>476</v>
      </c>
      <c r="B128" s="22" t="s">
        <v>674</v>
      </c>
      <c r="C128" s="24" t="s">
        <v>397</v>
      </c>
      <c r="D128" s="38">
        <v>1</v>
      </c>
      <c r="E128" s="39" t="s">
        <v>769</v>
      </c>
      <c r="F128" s="40"/>
      <c r="G128" s="41">
        <v>2642</v>
      </c>
      <c r="H128" s="40"/>
      <c r="I128" s="40"/>
      <c r="J128" s="42">
        <v>236</v>
      </c>
      <c r="K128" s="43" t="s">
        <v>116</v>
      </c>
      <c r="L128" s="43" t="s">
        <v>130</v>
      </c>
      <c r="M128" s="42" t="s">
        <v>595</v>
      </c>
      <c r="N128" s="43" t="s">
        <v>24</v>
      </c>
      <c r="O128" s="43" t="s">
        <v>790</v>
      </c>
      <c r="P128" s="44">
        <v>0</v>
      </c>
      <c r="Q128" s="45" t="s">
        <v>25</v>
      </c>
      <c r="R128" s="45" t="s">
        <v>26</v>
      </c>
      <c r="S128" s="42">
        <v>2029</v>
      </c>
      <c r="T128" s="46">
        <v>47483</v>
      </c>
      <c r="U128" s="47">
        <v>0.59585500000000002</v>
      </c>
      <c r="V128" s="47">
        <v>0.35</v>
      </c>
      <c r="W128" s="48">
        <f t="shared" si="34"/>
        <v>0.945855</v>
      </c>
      <c r="X128" s="47">
        <v>0.05</v>
      </c>
      <c r="Y128" s="47">
        <v>9.0000000000000011E-2</v>
      </c>
      <c r="Z128" s="47">
        <v>6.8000000000000005E-2</v>
      </c>
      <c r="AA128" s="53">
        <v>0.19800000000000001</v>
      </c>
      <c r="AB128" s="47">
        <v>5.4144999999999999E-2</v>
      </c>
      <c r="AC128" s="51">
        <f t="shared" si="43"/>
        <v>183738</v>
      </c>
      <c r="AD128" s="46"/>
      <c r="AE128" s="40">
        <f t="shared" si="35"/>
        <v>0</v>
      </c>
      <c r="AF128" s="53">
        <f t="shared" si="36"/>
        <v>0</v>
      </c>
      <c r="AG128" s="55">
        <f t="shared" si="37"/>
        <v>29.949293999999998</v>
      </c>
      <c r="AH128" s="40">
        <v>163</v>
      </c>
      <c r="AI128" s="40">
        <v>271</v>
      </c>
      <c r="AJ128" s="40">
        <v>678</v>
      </c>
      <c r="AK128" s="40">
        <v>600</v>
      </c>
      <c r="AL128" s="55">
        <f t="shared" si="38"/>
        <v>110.2428</v>
      </c>
      <c r="AM128" s="55">
        <f t="shared" si="39"/>
        <v>65.68872359400001</v>
      </c>
      <c r="AN128" s="49">
        <v>162600</v>
      </c>
      <c r="AO128" s="57">
        <f t="shared" si="40"/>
        <v>44173</v>
      </c>
      <c r="AP128" s="60">
        <f t="shared" si="41"/>
        <v>0.65</v>
      </c>
      <c r="AQ128" s="61">
        <f t="shared" si="42"/>
        <v>2.3926380368098159</v>
      </c>
    </row>
    <row r="129" spans="1:43">
      <c r="A129" s="22" t="s">
        <v>476</v>
      </c>
      <c r="B129" s="22" t="s">
        <v>675</v>
      </c>
      <c r="C129" s="24" t="s">
        <v>397</v>
      </c>
      <c r="D129" s="25">
        <v>1</v>
      </c>
      <c r="E129" s="26" t="s">
        <v>769</v>
      </c>
      <c r="F129" s="20"/>
      <c r="G129" s="27">
        <v>2642</v>
      </c>
      <c r="H129" s="20"/>
      <c r="I129" s="20"/>
      <c r="J129" s="28">
        <v>237</v>
      </c>
      <c r="K129" s="29" t="s">
        <v>116</v>
      </c>
      <c r="L129" s="29" t="s">
        <v>130</v>
      </c>
      <c r="M129" s="28" t="s">
        <v>595</v>
      </c>
      <c r="N129" s="29" t="s">
        <v>24</v>
      </c>
      <c r="O129" s="29" t="s">
        <v>790</v>
      </c>
      <c r="P129" s="37">
        <v>0</v>
      </c>
      <c r="Q129" s="30" t="s">
        <v>25</v>
      </c>
      <c r="R129" s="30" t="s">
        <v>26</v>
      </c>
      <c r="S129" s="28">
        <v>2031</v>
      </c>
      <c r="T129" s="32">
        <v>48213</v>
      </c>
      <c r="U129" s="31">
        <v>0.59585500000000002</v>
      </c>
      <c r="V129" s="31">
        <v>0.35</v>
      </c>
      <c r="W129" s="36">
        <f t="shared" si="34"/>
        <v>0.945855</v>
      </c>
      <c r="X129" s="31">
        <v>0.05</v>
      </c>
      <c r="Y129" s="31">
        <v>9.0000000000000011E-2</v>
      </c>
      <c r="Z129" s="31">
        <v>6.8000000000000005E-2</v>
      </c>
      <c r="AA129" s="52">
        <v>0.19800000000000001</v>
      </c>
      <c r="AB129" s="31">
        <v>5.4144999999999999E-2</v>
      </c>
      <c r="AC129" s="50">
        <f t="shared" si="43"/>
        <v>260596</v>
      </c>
      <c r="AD129" s="32"/>
      <c r="AE129" s="20">
        <f t="shared" si="35"/>
        <v>0</v>
      </c>
      <c r="AF129" s="52">
        <f t="shared" si="36"/>
        <v>0</v>
      </c>
      <c r="AG129" s="54">
        <f t="shared" si="37"/>
        <v>42.477148</v>
      </c>
      <c r="AH129" s="20">
        <v>163</v>
      </c>
      <c r="AI129" s="20">
        <v>227</v>
      </c>
      <c r="AJ129" s="20">
        <v>1148</v>
      </c>
      <c r="AK129" s="20">
        <v>600</v>
      </c>
      <c r="AL129" s="54">
        <f t="shared" si="38"/>
        <v>156.35759999999999</v>
      </c>
      <c r="AM129" s="54">
        <f t="shared" si="39"/>
        <v>93.166457747999999</v>
      </c>
      <c r="AN129" s="33">
        <v>136200</v>
      </c>
      <c r="AO129" s="56">
        <f t="shared" si="40"/>
        <v>37001</v>
      </c>
      <c r="AP129" s="58">
        <f t="shared" si="41"/>
        <v>0.65</v>
      </c>
      <c r="AQ129" s="59">
        <f t="shared" si="42"/>
        <v>2.3926380368098159</v>
      </c>
    </row>
    <row r="130" spans="1:43">
      <c r="A130" s="22" t="s">
        <v>482</v>
      </c>
      <c r="B130" s="22" t="s">
        <v>278</v>
      </c>
      <c r="C130" s="24" t="s">
        <v>393</v>
      </c>
      <c r="D130" s="38">
        <v>1</v>
      </c>
      <c r="E130" s="39" t="s">
        <v>770</v>
      </c>
      <c r="F130" s="40"/>
      <c r="G130" s="41">
        <v>2286</v>
      </c>
      <c r="H130" s="40"/>
      <c r="I130" s="40"/>
      <c r="J130" s="42">
        <v>249</v>
      </c>
      <c r="K130" s="43" t="s">
        <v>116</v>
      </c>
      <c r="L130" s="43" t="s">
        <v>137</v>
      </c>
      <c r="M130" s="42" t="s">
        <v>605</v>
      </c>
      <c r="N130" s="43" t="s">
        <v>115</v>
      </c>
      <c r="O130" s="43" t="s">
        <v>790</v>
      </c>
      <c r="P130" s="44">
        <v>0</v>
      </c>
      <c r="Q130" s="45" t="s">
        <v>25</v>
      </c>
      <c r="R130" s="45" t="s">
        <v>789</v>
      </c>
      <c r="S130" s="42">
        <v>2027</v>
      </c>
      <c r="T130" s="46">
        <v>46477</v>
      </c>
      <c r="U130" s="47">
        <v>0.45</v>
      </c>
      <c r="V130" s="47">
        <v>0.5</v>
      </c>
      <c r="W130" s="48">
        <f t="shared" si="34"/>
        <v>0.95</v>
      </c>
      <c r="X130" s="47">
        <v>0.05</v>
      </c>
      <c r="Y130" s="47">
        <v>9.0000000000000011E-2</v>
      </c>
      <c r="Z130" s="47">
        <v>6.8000000000000005E-2</v>
      </c>
      <c r="AA130" s="53">
        <v>0.19800000000000001</v>
      </c>
      <c r="AB130" s="47">
        <v>5.0000000000000044E-2</v>
      </c>
      <c r="AC130" s="51">
        <f t="shared" si="43"/>
        <v>331215.05</v>
      </c>
      <c r="AD130" s="46"/>
      <c r="AE130" s="40">
        <f t="shared" si="35"/>
        <v>0</v>
      </c>
      <c r="AF130" s="53">
        <f t="shared" si="36"/>
        <v>0</v>
      </c>
      <c r="AG130" s="55">
        <f t="shared" si="37"/>
        <v>53.988053150000006</v>
      </c>
      <c r="AH130" s="40">
        <v>163</v>
      </c>
      <c r="AI130" s="40">
        <v>299.20058717253841</v>
      </c>
      <c r="AJ130" s="40">
        <v>1107</v>
      </c>
      <c r="AK130" s="40">
        <v>635.46448156617566</v>
      </c>
      <c r="AL130" s="55">
        <f t="shared" si="38"/>
        <v>210.47540003516494</v>
      </c>
      <c r="AM130" s="55">
        <f t="shared" si="39"/>
        <v>94.713930015824218</v>
      </c>
      <c r="AN130" s="49">
        <v>190131.34601189246</v>
      </c>
      <c r="AO130" s="57">
        <f t="shared" si="40"/>
        <v>48769.695709123764</v>
      </c>
      <c r="AP130" s="60">
        <f t="shared" si="41"/>
        <v>0.5</v>
      </c>
      <c r="AQ130" s="61">
        <f t="shared" si="42"/>
        <v>1.9492775508164895</v>
      </c>
    </row>
    <row r="131" spans="1:43">
      <c r="A131" s="22" t="s">
        <v>483</v>
      </c>
      <c r="B131" s="22" t="s">
        <v>279</v>
      </c>
      <c r="C131" s="24" t="s">
        <v>393</v>
      </c>
      <c r="D131" s="25">
        <v>1</v>
      </c>
      <c r="E131" s="26" t="s">
        <v>770</v>
      </c>
      <c r="F131" s="20"/>
      <c r="G131" s="27">
        <v>2286</v>
      </c>
      <c r="H131" s="20"/>
      <c r="I131" s="20"/>
      <c r="J131" s="28">
        <v>250</v>
      </c>
      <c r="K131" s="29" t="s">
        <v>116</v>
      </c>
      <c r="L131" s="29" t="s">
        <v>137</v>
      </c>
      <c r="M131" s="28" t="s">
        <v>605</v>
      </c>
      <c r="N131" s="29" t="s">
        <v>48</v>
      </c>
      <c r="O131" s="29" t="s">
        <v>790</v>
      </c>
      <c r="P131" s="37">
        <v>0</v>
      </c>
      <c r="Q131" s="30" t="s">
        <v>25</v>
      </c>
      <c r="R131" s="30" t="s">
        <v>26</v>
      </c>
      <c r="S131" s="28">
        <v>2029</v>
      </c>
      <c r="T131" s="32">
        <v>47299</v>
      </c>
      <c r="U131" s="31">
        <v>0.45</v>
      </c>
      <c r="V131" s="31">
        <v>0.5</v>
      </c>
      <c r="W131" s="36">
        <f t="shared" si="34"/>
        <v>0.95</v>
      </c>
      <c r="X131" s="31">
        <v>0.05</v>
      </c>
      <c r="Y131" s="31">
        <v>9.0000000000000011E-2</v>
      </c>
      <c r="Z131" s="31">
        <v>6.8000000000000005E-2</v>
      </c>
      <c r="AA131" s="52">
        <v>0.19800000000000001</v>
      </c>
      <c r="AB131" s="31">
        <v>5.0000000000000044E-2</v>
      </c>
      <c r="AC131" s="50">
        <f t="shared" si="43"/>
        <v>308574.72199999995</v>
      </c>
      <c r="AD131" s="32"/>
      <c r="AE131" s="20">
        <f t="shared" si="35"/>
        <v>0</v>
      </c>
      <c r="AF131" s="52">
        <f t="shared" si="36"/>
        <v>0</v>
      </c>
      <c r="AG131" s="54">
        <f t="shared" si="37"/>
        <v>50.297679685999995</v>
      </c>
      <c r="AH131" s="20">
        <v>163</v>
      </c>
      <c r="AI131" s="20">
        <v>299.00651356589145</v>
      </c>
      <c r="AJ131" s="20">
        <v>1032</v>
      </c>
      <c r="AK131" s="20">
        <v>635.46448156617566</v>
      </c>
      <c r="AL131" s="54">
        <f t="shared" si="38"/>
        <v>196.08827574015677</v>
      </c>
      <c r="AM131" s="54">
        <f t="shared" si="39"/>
        <v>88.239724083070556</v>
      </c>
      <c r="AN131" s="33">
        <v>190008.01912805889</v>
      </c>
      <c r="AO131" s="56">
        <f t="shared" si="40"/>
        <v>48738.061711240305</v>
      </c>
      <c r="AP131" s="58">
        <f t="shared" si="41"/>
        <v>0.5</v>
      </c>
      <c r="AQ131" s="59">
        <f t="shared" si="42"/>
        <v>1.9492775508164899</v>
      </c>
    </row>
    <row r="132" spans="1:43">
      <c r="A132" s="22" t="s">
        <v>483</v>
      </c>
      <c r="B132" s="22" t="s">
        <v>280</v>
      </c>
      <c r="C132" s="24" t="s">
        <v>393</v>
      </c>
      <c r="D132" s="38">
        <v>1</v>
      </c>
      <c r="E132" s="39" t="s">
        <v>770</v>
      </c>
      <c r="F132" s="40"/>
      <c r="G132" s="41">
        <v>2286</v>
      </c>
      <c r="H132" s="40"/>
      <c r="I132" s="40"/>
      <c r="J132" s="42">
        <v>251</v>
      </c>
      <c r="K132" s="43" t="s">
        <v>116</v>
      </c>
      <c r="L132" s="43" t="s">
        <v>137</v>
      </c>
      <c r="M132" s="42" t="s">
        <v>605</v>
      </c>
      <c r="N132" s="43" t="s">
        <v>49</v>
      </c>
      <c r="O132" s="43" t="s">
        <v>790</v>
      </c>
      <c r="P132" s="44">
        <v>0</v>
      </c>
      <c r="Q132" s="45" t="s">
        <v>25</v>
      </c>
      <c r="R132" s="45" t="s">
        <v>26</v>
      </c>
      <c r="S132" s="42">
        <v>2031</v>
      </c>
      <c r="T132" s="46">
        <v>48029</v>
      </c>
      <c r="U132" s="47">
        <v>0.45</v>
      </c>
      <c r="V132" s="47">
        <v>0.5</v>
      </c>
      <c r="W132" s="48">
        <f t="shared" si="34"/>
        <v>0.95</v>
      </c>
      <c r="X132" s="47">
        <v>0.05</v>
      </c>
      <c r="Y132" s="47">
        <v>9.0000000000000011E-2</v>
      </c>
      <c r="Z132" s="47">
        <v>6.8000000000000005E-2</v>
      </c>
      <c r="AA132" s="53">
        <v>0.19800000000000001</v>
      </c>
      <c r="AB132" s="47">
        <v>5.0000000000000044E-2</v>
      </c>
      <c r="AC132" s="51">
        <f t="shared" si="43"/>
        <v>308574.72199999995</v>
      </c>
      <c r="AD132" s="46"/>
      <c r="AE132" s="40">
        <f t="shared" si="35"/>
        <v>0</v>
      </c>
      <c r="AF132" s="53">
        <f t="shared" si="36"/>
        <v>0</v>
      </c>
      <c r="AG132" s="55">
        <f t="shared" si="37"/>
        <v>50.297679685999995</v>
      </c>
      <c r="AH132" s="40">
        <v>163</v>
      </c>
      <c r="AI132" s="40">
        <v>299.00651356589145</v>
      </c>
      <c r="AJ132" s="40">
        <v>1032</v>
      </c>
      <c r="AK132" s="40">
        <v>635.46448156617566</v>
      </c>
      <c r="AL132" s="55">
        <f t="shared" si="38"/>
        <v>196.08827574015677</v>
      </c>
      <c r="AM132" s="55">
        <f t="shared" si="39"/>
        <v>88.239724083070556</v>
      </c>
      <c r="AN132" s="49">
        <v>190008.01912805889</v>
      </c>
      <c r="AO132" s="57">
        <f t="shared" si="40"/>
        <v>48738.061711240305</v>
      </c>
      <c r="AP132" s="60">
        <f t="shared" si="41"/>
        <v>0.5</v>
      </c>
      <c r="AQ132" s="61">
        <f t="shared" si="42"/>
        <v>1.9492775508164899</v>
      </c>
    </row>
    <row r="133" spans="1:43">
      <c r="A133" s="22" t="s">
        <v>483</v>
      </c>
      <c r="B133" s="22" t="s">
        <v>281</v>
      </c>
      <c r="C133" s="24" t="s">
        <v>393</v>
      </c>
      <c r="D133" s="25">
        <v>1</v>
      </c>
      <c r="E133" s="26" t="s">
        <v>770</v>
      </c>
      <c r="F133" s="20"/>
      <c r="G133" s="27">
        <v>2286</v>
      </c>
      <c r="H133" s="20"/>
      <c r="I133" s="20"/>
      <c r="J133" s="28">
        <v>252</v>
      </c>
      <c r="K133" s="29" t="s">
        <v>116</v>
      </c>
      <c r="L133" s="29" t="s">
        <v>137</v>
      </c>
      <c r="M133" s="28" t="s">
        <v>605</v>
      </c>
      <c r="N133" s="29" t="s">
        <v>50</v>
      </c>
      <c r="O133" s="29" t="s">
        <v>790</v>
      </c>
      <c r="P133" s="37">
        <v>0</v>
      </c>
      <c r="Q133" s="30" t="s">
        <v>25</v>
      </c>
      <c r="R133" s="30" t="s">
        <v>26</v>
      </c>
      <c r="S133" s="28">
        <v>2033</v>
      </c>
      <c r="T133" s="32">
        <v>48760</v>
      </c>
      <c r="U133" s="31">
        <v>0.45</v>
      </c>
      <c r="V133" s="31">
        <v>0.5</v>
      </c>
      <c r="W133" s="36">
        <f t="shared" si="34"/>
        <v>0.95</v>
      </c>
      <c r="X133" s="31">
        <v>0.05</v>
      </c>
      <c r="Y133" s="31">
        <v>9.0000000000000011E-2</v>
      </c>
      <c r="Z133" s="31">
        <v>6.8000000000000005E-2</v>
      </c>
      <c r="AA133" s="52">
        <v>0.19800000000000001</v>
      </c>
      <c r="AB133" s="31">
        <v>5.0000000000000044E-2</v>
      </c>
      <c r="AC133" s="50">
        <f t="shared" si="43"/>
        <v>308574.72199999995</v>
      </c>
      <c r="AD133" s="32"/>
      <c r="AE133" s="20">
        <f t="shared" si="35"/>
        <v>0</v>
      </c>
      <c r="AF133" s="52">
        <f t="shared" si="36"/>
        <v>0</v>
      </c>
      <c r="AG133" s="54">
        <f t="shared" si="37"/>
        <v>50.297679685999995</v>
      </c>
      <c r="AH133" s="20">
        <v>163</v>
      </c>
      <c r="AI133" s="20">
        <v>299.00651356589145</v>
      </c>
      <c r="AJ133" s="20">
        <v>1032</v>
      </c>
      <c r="AK133" s="20">
        <v>635.46448156617566</v>
      </c>
      <c r="AL133" s="54">
        <f t="shared" si="38"/>
        <v>196.08827574015677</v>
      </c>
      <c r="AM133" s="54">
        <f t="shared" si="39"/>
        <v>88.239724083070556</v>
      </c>
      <c r="AN133" s="33">
        <v>190008.01912805889</v>
      </c>
      <c r="AO133" s="56">
        <f t="shared" si="40"/>
        <v>48738.061711240305</v>
      </c>
      <c r="AP133" s="58">
        <f t="shared" si="41"/>
        <v>0.5</v>
      </c>
      <c r="AQ133" s="59">
        <f t="shared" si="42"/>
        <v>1.9492775508164899</v>
      </c>
    </row>
    <row r="134" spans="1:43">
      <c r="A134" s="22" t="s">
        <v>483</v>
      </c>
      <c r="B134" s="22" t="s">
        <v>282</v>
      </c>
      <c r="C134" s="24" t="s">
        <v>393</v>
      </c>
      <c r="D134" s="38">
        <v>1</v>
      </c>
      <c r="E134" s="39" t="s">
        <v>770</v>
      </c>
      <c r="F134" s="40"/>
      <c r="G134" s="41">
        <v>2286</v>
      </c>
      <c r="H134" s="40"/>
      <c r="I134" s="40"/>
      <c r="J134" s="42">
        <v>253</v>
      </c>
      <c r="K134" s="43" t="s">
        <v>116</v>
      </c>
      <c r="L134" s="43" t="s">
        <v>137</v>
      </c>
      <c r="M134" s="42" t="s">
        <v>605</v>
      </c>
      <c r="N134" s="43" t="s">
        <v>51</v>
      </c>
      <c r="O134" s="43" t="s">
        <v>790</v>
      </c>
      <c r="P134" s="44">
        <v>0</v>
      </c>
      <c r="Q134" s="45" t="s">
        <v>25</v>
      </c>
      <c r="R134" s="45" t="s">
        <v>26</v>
      </c>
      <c r="S134" s="42">
        <v>2035</v>
      </c>
      <c r="T134" s="46">
        <v>49490</v>
      </c>
      <c r="U134" s="47">
        <v>0.45</v>
      </c>
      <c r="V134" s="47">
        <v>0.5</v>
      </c>
      <c r="W134" s="48">
        <f t="shared" si="34"/>
        <v>0.95</v>
      </c>
      <c r="X134" s="47">
        <v>0.05</v>
      </c>
      <c r="Y134" s="47">
        <v>9.0000000000000011E-2</v>
      </c>
      <c r="Z134" s="47">
        <v>6.8000000000000005E-2</v>
      </c>
      <c r="AA134" s="53">
        <v>0.19800000000000001</v>
      </c>
      <c r="AB134" s="47">
        <v>5.0000000000000044E-2</v>
      </c>
      <c r="AC134" s="51">
        <f t="shared" si="43"/>
        <v>308574.72199999995</v>
      </c>
      <c r="AD134" s="46"/>
      <c r="AE134" s="40">
        <f t="shared" si="35"/>
        <v>0</v>
      </c>
      <c r="AF134" s="53">
        <f t="shared" si="36"/>
        <v>0</v>
      </c>
      <c r="AG134" s="55">
        <f t="shared" si="37"/>
        <v>50.297679685999995</v>
      </c>
      <c r="AH134" s="40">
        <v>163</v>
      </c>
      <c r="AI134" s="40">
        <v>299.00651356589145</v>
      </c>
      <c r="AJ134" s="40">
        <v>1032</v>
      </c>
      <c r="AK134" s="40">
        <v>635.46448156617566</v>
      </c>
      <c r="AL134" s="55">
        <f t="shared" si="38"/>
        <v>196.08827574015677</v>
      </c>
      <c r="AM134" s="55">
        <f t="shared" si="39"/>
        <v>88.239724083070556</v>
      </c>
      <c r="AN134" s="49">
        <v>190008.01912805889</v>
      </c>
      <c r="AO134" s="57">
        <f t="shared" si="40"/>
        <v>48738.061711240305</v>
      </c>
      <c r="AP134" s="60">
        <f t="shared" si="41"/>
        <v>0.5</v>
      </c>
      <c r="AQ134" s="61">
        <f t="shared" si="42"/>
        <v>1.9492775508164899</v>
      </c>
    </row>
    <row r="135" spans="1:43">
      <c r="A135" s="22" t="s">
        <v>483</v>
      </c>
      <c r="B135" s="22" t="s">
        <v>283</v>
      </c>
      <c r="C135" s="24" t="s">
        <v>393</v>
      </c>
      <c r="D135" s="25">
        <v>1</v>
      </c>
      <c r="E135" s="26" t="s">
        <v>770</v>
      </c>
      <c r="F135" s="20"/>
      <c r="G135" s="27">
        <v>2286</v>
      </c>
      <c r="H135" s="20"/>
      <c r="I135" s="20"/>
      <c r="J135" s="28">
        <v>254</v>
      </c>
      <c r="K135" s="29" t="s">
        <v>116</v>
      </c>
      <c r="L135" s="29" t="s">
        <v>137</v>
      </c>
      <c r="M135" s="28" t="s">
        <v>605</v>
      </c>
      <c r="N135" s="29" t="s">
        <v>52</v>
      </c>
      <c r="O135" s="29" t="s">
        <v>790</v>
      </c>
      <c r="P135" s="37">
        <v>0</v>
      </c>
      <c r="Q135" s="30" t="s">
        <v>25</v>
      </c>
      <c r="R135" s="30" t="s">
        <v>26</v>
      </c>
      <c r="S135" s="28">
        <v>2037</v>
      </c>
      <c r="T135" s="32">
        <v>50221</v>
      </c>
      <c r="U135" s="31">
        <v>0.45</v>
      </c>
      <c r="V135" s="31">
        <v>0.5</v>
      </c>
      <c r="W135" s="36">
        <f t="shared" si="34"/>
        <v>0.95</v>
      </c>
      <c r="X135" s="31">
        <v>0.05</v>
      </c>
      <c r="Y135" s="31">
        <v>9.0000000000000011E-2</v>
      </c>
      <c r="Z135" s="31">
        <v>6.8000000000000005E-2</v>
      </c>
      <c r="AA135" s="52">
        <v>0.19800000000000001</v>
      </c>
      <c r="AB135" s="31">
        <v>5.0000000000000044E-2</v>
      </c>
      <c r="AC135" s="50">
        <f t="shared" si="43"/>
        <v>308574.72199999995</v>
      </c>
      <c r="AD135" s="32"/>
      <c r="AE135" s="20">
        <f t="shared" si="35"/>
        <v>0</v>
      </c>
      <c r="AF135" s="52">
        <f t="shared" si="36"/>
        <v>0</v>
      </c>
      <c r="AG135" s="54">
        <f t="shared" si="37"/>
        <v>50.297679685999995</v>
      </c>
      <c r="AH135" s="20">
        <v>163</v>
      </c>
      <c r="AI135" s="20">
        <v>299.00651356589145</v>
      </c>
      <c r="AJ135" s="20">
        <v>1032</v>
      </c>
      <c r="AK135" s="20">
        <v>635.46448156617566</v>
      </c>
      <c r="AL135" s="54">
        <f t="shared" si="38"/>
        <v>196.08827574015677</v>
      </c>
      <c r="AM135" s="54">
        <f t="shared" si="39"/>
        <v>88.239724083070556</v>
      </c>
      <c r="AN135" s="33">
        <v>190008.01912805889</v>
      </c>
      <c r="AO135" s="56">
        <f t="shared" si="40"/>
        <v>48738.061711240305</v>
      </c>
      <c r="AP135" s="58">
        <f t="shared" si="41"/>
        <v>0.5</v>
      </c>
      <c r="AQ135" s="59">
        <f t="shared" si="42"/>
        <v>1.9492775508164899</v>
      </c>
    </row>
    <row r="136" spans="1:43">
      <c r="A136" s="22" t="s">
        <v>484</v>
      </c>
      <c r="B136" s="22" t="s">
        <v>284</v>
      </c>
      <c r="C136" s="24" t="s">
        <v>392</v>
      </c>
      <c r="D136" s="38">
        <v>1</v>
      </c>
      <c r="E136" s="39" t="s">
        <v>770</v>
      </c>
      <c r="F136" s="40"/>
      <c r="G136" s="41">
        <v>2281</v>
      </c>
      <c r="H136" s="40"/>
      <c r="I136" s="40"/>
      <c r="J136" s="42">
        <v>255</v>
      </c>
      <c r="K136" s="43" t="s">
        <v>116</v>
      </c>
      <c r="L136" s="43" t="s">
        <v>138</v>
      </c>
      <c r="M136" s="42" t="s">
        <v>605</v>
      </c>
      <c r="N136" s="43" t="s">
        <v>139</v>
      </c>
      <c r="O136" s="43" t="s">
        <v>790</v>
      </c>
      <c r="P136" s="44">
        <v>0</v>
      </c>
      <c r="Q136" s="45" t="s">
        <v>25</v>
      </c>
      <c r="R136" s="45" t="s">
        <v>789</v>
      </c>
      <c r="S136" s="42">
        <v>2028</v>
      </c>
      <c r="T136" s="46">
        <v>47026</v>
      </c>
      <c r="U136" s="47">
        <v>0.63710649999999991</v>
      </c>
      <c r="V136" s="47">
        <v>0.30500000000000005</v>
      </c>
      <c r="W136" s="48">
        <f t="shared" si="34"/>
        <v>0.94210649999999996</v>
      </c>
      <c r="X136" s="47">
        <v>0.05</v>
      </c>
      <c r="Y136" s="47">
        <v>9.0000000000000011E-2</v>
      </c>
      <c r="Z136" s="47">
        <v>6.8000000000000005E-2</v>
      </c>
      <c r="AA136" s="53">
        <v>0.19800000000000001</v>
      </c>
      <c r="AB136" s="47">
        <v>5.7893500000000042E-2</v>
      </c>
      <c r="AC136" s="51">
        <f t="shared" si="43"/>
        <v>183688.94</v>
      </c>
      <c r="AD136" s="46"/>
      <c r="AE136" s="40">
        <f t="shared" si="35"/>
        <v>0</v>
      </c>
      <c r="AF136" s="53">
        <f t="shared" si="36"/>
        <v>0</v>
      </c>
      <c r="AG136" s="55">
        <f t="shared" si="37"/>
        <v>29.941297219999999</v>
      </c>
      <c r="AH136" s="40">
        <v>163</v>
      </c>
      <c r="AI136" s="40">
        <v>174.94184761904762</v>
      </c>
      <c r="AJ136" s="40">
        <v>1050</v>
      </c>
      <c r="AK136" s="40">
        <v>550</v>
      </c>
      <c r="AL136" s="55">
        <f t="shared" si="38"/>
        <v>101.02891700000001</v>
      </c>
      <c r="AM136" s="55">
        <f t="shared" si="39"/>
        <v>64.366179708660496</v>
      </c>
      <c r="AN136" s="49">
        <v>96218.016190476192</v>
      </c>
      <c r="AO136" s="57">
        <f t="shared" si="40"/>
        <v>28515.521161904762</v>
      </c>
      <c r="AP136" s="60">
        <f t="shared" si="41"/>
        <v>0.69499999999999995</v>
      </c>
      <c r="AQ136" s="61">
        <f t="shared" si="42"/>
        <v>2.345092024539877</v>
      </c>
    </row>
    <row r="137" spans="1:43">
      <c r="A137" s="22" t="s">
        <v>485</v>
      </c>
      <c r="B137" s="22" t="s">
        <v>285</v>
      </c>
      <c r="C137" s="24" t="s">
        <v>392</v>
      </c>
      <c r="D137" s="25">
        <v>1</v>
      </c>
      <c r="E137" s="26" t="s">
        <v>770</v>
      </c>
      <c r="F137" s="20"/>
      <c r="G137" s="27">
        <v>2281</v>
      </c>
      <c r="H137" s="20"/>
      <c r="I137" s="20"/>
      <c r="J137" s="28">
        <v>256</v>
      </c>
      <c r="K137" s="29" t="s">
        <v>116</v>
      </c>
      <c r="L137" s="29" t="s">
        <v>138</v>
      </c>
      <c r="M137" s="28" t="s">
        <v>605</v>
      </c>
      <c r="N137" s="29" t="s">
        <v>140</v>
      </c>
      <c r="O137" s="29" t="s">
        <v>790</v>
      </c>
      <c r="P137" s="37">
        <v>0</v>
      </c>
      <c r="Q137" s="30" t="s">
        <v>25</v>
      </c>
      <c r="R137" s="30" t="s">
        <v>26</v>
      </c>
      <c r="S137" s="28">
        <v>2030</v>
      </c>
      <c r="T137" s="32">
        <v>47756</v>
      </c>
      <c r="U137" s="31">
        <v>0.63710649999999991</v>
      </c>
      <c r="V137" s="31">
        <v>0.30500000000000005</v>
      </c>
      <c r="W137" s="36">
        <f t="shared" si="34"/>
        <v>0.94210649999999996</v>
      </c>
      <c r="X137" s="31">
        <v>0.05</v>
      </c>
      <c r="Y137" s="31">
        <v>9.0000000000000011E-2</v>
      </c>
      <c r="Z137" s="31">
        <v>6.8000000000000005E-2</v>
      </c>
      <c r="AA137" s="52">
        <v>0.19800000000000001</v>
      </c>
      <c r="AB137" s="31">
        <v>5.7893500000000042E-2</v>
      </c>
      <c r="AC137" s="50">
        <f t="shared" si="43"/>
        <v>98462.38</v>
      </c>
      <c r="AD137" s="32"/>
      <c r="AE137" s="20">
        <f t="shared" si="35"/>
        <v>0</v>
      </c>
      <c r="AF137" s="52">
        <f t="shared" si="36"/>
        <v>0</v>
      </c>
      <c r="AG137" s="54">
        <f t="shared" si="37"/>
        <v>16.04936794</v>
      </c>
      <c r="AH137" s="20">
        <v>163</v>
      </c>
      <c r="AI137" s="20">
        <v>184.73242026266416</v>
      </c>
      <c r="AJ137" s="20">
        <v>533</v>
      </c>
      <c r="AK137" s="20">
        <v>600</v>
      </c>
      <c r="AL137" s="54">
        <f t="shared" si="38"/>
        <v>59.077427999999998</v>
      </c>
      <c r="AM137" s="54">
        <f t="shared" si="39"/>
        <v>37.638613382081992</v>
      </c>
      <c r="AN137" s="33">
        <v>110839.4521575985</v>
      </c>
      <c r="AO137" s="56">
        <f t="shared" si="40"/>
        <v>30111.38450281426</v>
      </c>
      <c r="AP137" s="58">
        <f t="shared" si="41"/>
        <v>0.69499999999999995</v>
      </c>
      <c r="AQ137" s="59">
        <f t="shared" si="42"/>
        <v>2.5582822085889569</v>
      </c>
    </row>
    <row r="138" spans="1:43">
      <c r="A138" s="22" t="s">
        <v>486</v>
      </c>
      <c r="B138" s="22" t="s">
        <v>286</v>
      </c>
      <c r="C138" s="24" t="s">
        <v>391</v>
      </c>
      <c r="D138" s="38">
        <v>1</v>
      </c>
      <c r="E138" s="39" t="s">
        <v>770</v>
      </c>
      <c r="F138" s="40"/>
      <c r="G138" s="41">
        <v>2281</v>
      </c>
      <c r="H138" s="40"/>
      <c r="I138" s="40"/>
      <c r="J138" s="42">
        <v>257</v>
      </c>
      <c r="K138" s="43" t="s">
        <v>116</v>
      </c>
      <c r="L138" s="43" t="s">
        <v>138</v>
      </c>
      <c r="M138" s="42" t="s">
        <v>605</v>
      </c>
      <c r="N138" s="43" t="s">
        <v>141</v>
      </c>
      <c r="O138" s="43" t="s">
        <v>790</v>
      </c>
      <c r="P138" s="44">
        <v>0</v>
      </c>
      <c r="Q138" s="45" t="s">
        <v>25</v>
      </c>
      <c r="R138" s="45" t="s">
        <v>26</v>
      </c>
      <c r="S138" s="42">
        <v>2032</v>
      </c>
      <c r="T138" s="46">
        <v>48487</v>
      </c>
      <c r="U138" s="47">
        <v>0.65085700000000002</v>
      </c>
      <c r="V138" s="47">
        <v>0.29000000000000004</v>
      </c>
      <c r="W138" s="48">
        <f t="shared" si="34"/>
        <v>0.94085700000000005</v>
      </c>
      <c r="X138" s="47">
        <v>0.05</v>
      </c>
      <c r="Y138" s="47">
        <v>9.0000000000000011E-2</v>
      </c>
      <c r="Z138" s="47">
        <v>6.8000000000000005E-2</v>
      </c>
      <c r="AA138" s="53">
        <v>0.19800000000000001</v>
      </c>
      <c r="AB138" s="47">
        <v>5.9142999999999946E-2</v>
      </c>
      <c r="AC138" s="51">
        <f t="shared" si="43"/>
        <v>55347.22</v>
      </c>
      <c r="AD138" s="46"/>
      <c r="AE138" s="40">
        <f t="shared" si="35"/>
        <v>0</v>
      </c>
      <c r="AF138" s="53">
        <f t="shared" si="36"/>
        <v>0</v>
      </c>
      <c r="AG138" s="55">
        <f t="shared" si="37"/>
        <v>9.0215968599999989</v>
      </c>
      <c r="AH138" s="40">
        <v>163</v>
      </c>
      <c r="AI138" s="40">
        <v>166.20786786786786</v>
      </c>
      <c r="AJ138" s="40">
        <v>333</v>
      </c>
      <c r="AK138" s="40">
        <v>600</v>
      </c>
      <c r="AL138" s="55">
        <f t="shared" si="38"/>
        <v>33.208331999999999</v>
      </c>
      <c r="AM138" s="55">
        <f t="shared" si="39"/>
        <v>21.613875340524</v>
      </c>
      <c r="AN138" s="49">
        <v>99724.72072072071</v>
      </c>
      <c r="AO138" s="57">
        <f t="shared" si="40"/>
        <v>27091.882462462461</v>
      </c>
      <c r="AP138" s="60">
        <f t="shared" si="41"/>
        <v>0.71</v>
      </c>
      <c r="AQ138" s="61">
        <f t="shared" si="42"/>
        <v>2.6134969325153374</v>
      </c>
    </row>
    <row r="139" spans="1:43">
      <c r="A139" s="22" t="s">
        <v>487</v>
      </c>
      <c r="B139" s="22" t="s">
        <v>287</v>
      </c>
      <c r="C139" s="24" t="s">
        <v>390</v>
      </c>
      <c r="D139" s="25">
        <v>1</v>
      </c>
      <c r="E139" s="26" t="s">
        <v>770</v>
      </c>
      <c r="F139" s="20"/>
      <c r="G139" s="27">
        <v>2281</v>
      </c>
      <c r="H139" s="20"/>
      <c r="I139" s="20"/>
      <c r="J139" s="28">
        <v>258</v>
      </c>
      <c r="K139" s="29" t="s">
        <v>116</v>
      </c>
      <c r="L139" s="29" t="s">
        <v>138</v>
      </c>
      <c r="M139" s="28" t="s">
        <v>605</v>
      </c>
      <c r="N139" s="29" t="s">
        <v>142</v>
      </c>
      <c r="O139" s="29" t="s">
        <v>790</v>
      </c>
      <c r="P139" s="37">
        <v>0</v>
      </c>
      <c r="Q139" s="30" t="s">
        <v>25</v>
      </c>
      <c r="R139" s="30" t="s">
        <v>26</v>
      </c>
      <c r="S139" s="28">
        <v>2034</v>
      </c>
      <c r="T139" s="32">
        <v>49217</v>
      </c>
      <c r="U139" s="31">
        <v>0.65085700000000002</v>
      </c>
      <c r="V139" s="31">
        <v>0.29000000000000004</v>
      </c>
      <c r="W139" s="36">
        <f t="shared" si="34"/>
        <v>0.94085700000000005</v>
      </c>
      <c r="X139" s="31">
        <v>0.05</v>
      </c>
      <c r="Y139" s="31">
        <v>9.0000000000000011E-2</v>
      </c>
      <c r="Z139" s="31">
        <v>6.8000000000000005E-2</v>
      </c>
      <c r="AA139" s="52">
        <v>0.19800000000000001</v>
      </c>
      <c r="AB139" s="31">
        <v>5.9142999999999946E-2</v>
      </c>
      <c r="AC139" s="50">
        <f t="shared" si="43"/>
        <v>145843.20000000001</v>
      </c>
      <c r="AD139" s="32"/>
      <c r="AE139" s="20">
        <f t="shared" si="35"/>
        <v>0</v>
      </c>
      <c r="AF139" s="52">
        <f t="shared" si="36"/>
        <v>0</v>
      </c>
      <c r="AG139" s="54">
        <f t="shared" si="37"/>
        <v>23.772441600000001</v>
      </c>
      <c r="AH139" s="20">
        <v>163</v>
      </c>
      <c r="AI139" s="20">
        <v>172.8</v>
      </c>
      <c r="AJ139" s="20">
        <v>844</v>
      </c>
      <c r="AK139" s="20">
        <v>600</v>
      </c>
      <c r="AL139" s="54">
        <f t="shared" si="38"/>
        <v>87.505920000000003</v>
      </c>
      <c r="AM139" s="54">
        <f t="shared" si="39"/>
        <v>56.953840573440004</v>
      </c>
      <c r="AN139" s="33">
        <v>103680</v>
      </c>
      <c r="AO139" s="56">
        <f t="shared" si="40"/>
        <v>28166.400000000001</v>
      </c>
      <c r="AP139" s="58">
        <f t="shared" si="41"/>
        <v>0.71</v>
      </c>
      <c r="AQ139" s="59">
        <f t="shared" si="42"/>
        <v>2.6134969325153374</v>
      </c>
    </row>
    <row r="140" spans="1:43">
      <c r="A140" s="22" t="s">
        <v>488</v>
      </c>
      <c r="B140" s="22" t="s">
        <v>288</v>
      </c>
      <c r="C140" s="24" t="s">
        <v>389</v>
      </c>
      <c r="D140" s="38">
        <v>1</v>
      </c>
      <c r="E140" s="39" t="s">
        <v>770</v>
      </c>
      <c r="F140" s="40"/>
      <c r="G140" s="41">
        <v>2281</v>
      </c>
      <c r="H140" s="40"/>
      <c r="I140" s="40"/>
      <c r="J140" s="42">
        <v>259</v>
      </c>
      <c r="K140" s="43" t="s">
        <v>116</v>
      </c>
      <c r="L140" s="43" t="s">
        <v>138</v>
      </c>
      <c r="M140" s="42" t="s">
        <v>605</v>
      </c>
      <c r="N140" s="43" t="s">
        <v>143</v>
      </c>
      <c r="O140" s="43" t="s">
        <v>790</v>
      </c>
      <c r="P140" s="44">
        <v>0</v>
      </c>
      <c r="Q140" s="45" t="s">
        <v>25</v>
      </c>
      <c r="R140" s="45" t="s">
        <v>26</v>
      </c>
      <c r="S140" s="42">
        <v>2036</v>
      </c>
      <c r="T140" s="46">
        <v>49948</v>
      </c>
      <c r="U140" s="47">
        <v>0.65085700000000002</v>
      </c>
      <c r="V140" s="47">
        <v>0.29000000000000004</v>
      </c>
      <c r="W140" s="48">
        <f t="shared" si="34"/>
        <v>0.94085700000000005</v>
      </c>
      <c r="X140" s="47">
        <v>0.05</v>
      </c>
      <c r="Y140" s="47">
        <v>9.0000000000000011E-2</v>
      </c>
      <c r="Z140" s="47">
        <v>6.8000000000000005E-2</v>
      </c>
      <c r="AA140" s="53">
        <v>0.19800000000000001</v>
      </c>
      <c r="AB140" s="47">
        <v>5.9142999999999946E-2</v>
      </c>
      <c r="AC140" s="51">
        <f t="shared" si="43"/>
        <v>142117.4</v>
      </c>
      <c r="AD140" s="46"/>
      <c r="AE140" s="40">
        <f t="shared" si="35"/>
        <v>0</v>
      </c>
      <c r="AF140" s="53">
        <f t="shared" si="36"/>
        <v>0</v>
      </c>
      <c r="AG140" s="55">
        <f t="shared" si="37"/>
        <v>23.165136199999999</v>
      </c>
      <c r="AH140" s="40">
        <v>163</v>
      </c>
      <c r="AI140" s="40">
        <v>159.86209223847018</v>
      </c>
      <c r="AJ140" s="40">
        <v>889</v>
      </c>
      <c r="AK140" s="40">
        <v>600</v>
      </c>
      <c r="AL140" s="55">
        <f t="shared" si="38"/>
        <v>85.270439999999994</v>
      </c>
      <c r="AM140" s="55">
        <f t="shared" si="39"/>
        <v>55.498862767079999</v>
      </c>
      <c r="AN140" s="49">
        <v>95917.255343082114</v>
      </c>
      <c r="AO140" s="57">
        <f t="shared" si="40"/>
        <v>26057.521034870639</v>
      </c>
      <c r="AP140" s="60">
        <f t="shared" si="41"/>
        <v>0.71</v>
      </c>
      <c r="AQ140" s="61">
        <f t="shared" si="42"/>
        <v>2.613496932515337</v>
      </c>
    </row>
    <row r="141" spans="1:43">
      <c r="A141" s="22" t="s">
        <v>488</v>
      </c>
      <c r="B141" s="22" t="s">
        <v>289</v>
      </c>
      <c r="C141" s="24" t="s">
        <v>389</v>
      </c>
      <c r="D141" s="25">
        <v>1</v>
      </c>
      <c r="E141" s="26" t="s">
        <v>770</v>
      </c>
      <c r="F141" s="20"/>
      <c r="G141" s="27">
        <v>2281</v>
      </c>
      <c r="H141" s="20"/>
      <c r="I141" s="20"/>
      <c r="J141" s="28">
        <v>260</v>
      </c>
      <c r="K141" s="29" t="s">
        <v>116</v>
      </c>
      <c r="L141" s="29" t="s">
        <v>138</v>
      </c>
      <c r="M141" s="28" t="s">
        <v>605</v>
      </c>
      <c r="N141" s="29" t="s">
        <v>144</v>
      </c>
      <c r="O141" s="29" t="s">
        <v>790</v>
      </c>
      <c r="P141" s="37">
        <v>0</v>
      </c>
      <c r="Q141" s="30" t="s">
        <v>25</v>
      </c>
      <c r="R141" s="30" t="s">
        <v>26</v>
      </c>
      <c r="S141" s="28">
        <v>2038</v>
      </c>
      <c r="T141" s="32">
        <v>50678</v>
      </c>
      <c r="U141" s="31">
        <v>0.65085700000000002</v>
      </c>
      <c r="V141" s="31">
        <v>0.29000000000000004</v>
      </c>
      <c r="W141" s="36">
        <f t="shared" si="34"/>
        <v>0.94085700000000005</v>
      </c>
      <c r="X141" s="31">
        <v>0.05</v>
      </c>
      <c r="Y141" s="31">
        <v>9.0000000000000011E-2</v>
      </c>
      <c r="Z141" s="31">
        <v>6.8000000000000005E-2</v>
      </c>
      <c r="AA141" s="52">
        <v>0.19800000000000001</v>
      </c>
      <c r="AB141" s="31">
        <v>5.9142999999999946E-2</v>
      </c>
      <c r="AC141" s="50">
        <f t="shared" si="43"/>
        <v>153158.75</v>
      </c>
      <c r="AD141" s="32"/>
      <c r="AE141" s="20">
        <f t="shared" si="35"/>
        <v>0</v>
      </c>
      <c r="AF141" s="52">
        <f t="shared" si="36"/>
        <v>0</v>
      </c>
      <c r="AG141" s="54">
        <f t="shared" si="37"/>
        <v>24.964876249999996</v>
      </c>
      <c r="AH141" s="20">
        <v>163</v>
      </c>
      <c r="AI141" s="20">
        <v>160.04049111807731</v>
      </c>
      <c r="AJ141" s="20">
        <v>957</v>
      </c>
      <c r="AK141" s="20">
        <v>600</v>
      </c>
      <c r="AL141" s="54">
        <f t="shared" si="38"/>
        <v>91.895250000000004</v>
      </c>
      <c r="AM141" s="54">
        <f t="shared" si="39"/>
        <v>59.810666729250002</v>
      </c>
      <c r="AN141" s="33">
        <v>96024.294670846386</v>
      </c>
      <c r="AO141" s="56">
        <f t="shared" si="40"/>
        <v>26086.600052246602</v>
      </c>
      <c r="AP141" s="58">
        <f t="shared" si="41"/>
        <v>0.71</v>
      </c>
      <c r="AQ141" s="59">
        <f t="shared" si="42"/>
        <v>2.6134969325153379</v>
      </c>
    </row>
    <row r="142" spans="1:43">
      <c r="A142" s="22" t="s">
        <v>489</v>
      </c>
      <c r="B142" s="22" t="s">
        <v>290</v>
      </c>
      <c r="C142" s="24" t="s">
        <v>388</v>
      </c>
      <c r="D142" s="38">
        <v>1</v>
      </c>
      <c r="E142" s="39" t="s">
        <v>770</v>
      </c>
      <c r="F142" s="40"/>
      <c r="G142" s="41">
        <v>2272</v>
      </c>
      <c r="H142" s="40"/>
      <c r="I142" s="40"/>
      <c r="J142" s="42">
        <v>261</v>
      </c>
      <c r="K142" s="43" t="s">
        <v>116</v>
      </c>
      <c r="L142" s="43" t="s">
        <v>145</v>
      </c>
      <c r="M142" s="42" t="s">
        <v>605</v>
      </c>
      <c r="N142" s="43" t="s">
        <v>146</v>
      </c>
      <c r="O142" s="43" t="s">
        <v>790</v>
      </c>
      <c r="P142" s="44">
        <v>0</v>
      </c>
      <c r="Q142" s="45" t="s">
        <v>25</v>
      </c>
      <c r="R142" s="45" t="s">
        <v>789</v>
      </c>
      <c r="S142" s="42">
        <v>2027</v>
      </c>
      <c r="T142" s="46">
        <v>46660</v>
      </c>
      <c r="U142" s="47">
        <v>0.64168999999999998</v>
      </c>
      <c r="V142" s="47">
        <v>0.30000000000000004</v>
      </c>
      <c r="W142" s="48">
        <f t="shared" si="34"/>
        <v>0.94169000000000003</v>
      </c>
      <c r="X142" s="47">
        <v>0.05</v>
      </c>
      <c r="Y142" s="47">
        <v>9.0000000000000011E-2</v>
      </c>
      <c r="Z142" s="47">
        <v>6.8000000000000005E-2</v>
      </c>
      <c r="AA142" s="53">
        <v>0.19800000000000001</v>
      </c>
      <c r="AB142" s="47">
        <v>5.8309999999999973E-2</v>
      </c>
      <c r="AC142" s="51">
        <f t="shared" si="43"/>
        <v>152823.85</v>
      </c>
      <c r="AD142" s="46"/>
      <c r="AE142" s="40">
        <f t="shared" si="35"/>
        <v>0</v>
      </c>
      <c r="AF142" s="53">
        <f t="shared" si="36"/>
        <v>0</v>
      </c>
      <c r="AG142" s="55">
        <f t="shared" si="37"/>
        <v>24.910287550000003</v>
      </c>
      <c r="AH142" s="40">
        <v>163</v>
      </c>
      <c r="AI142" s="40">
        <v>171.13533034714447</v>
      </c>
      <c r="AJ142" s="40">
        <v>893</v>
      </c>
      <c r="AK142" s="40">
        <v>650</v>
      </c>
      <c r="AL142" s="55">
        <f t="shared" si="38"/>
        <v>99.335502500000018</v>
      </c>
      <c r="AM142" s="55">
        <f t="shared" si="39"/>
        <v>63.742598599225012</v>
      </c>
      <c r="AN142" s="49">
        <v>111237.96472564391</v>
      </c>
      <c r="AO142" s="57">
        <f t="shared" si="40"/>
        <v>27895.05884658455</v>
      </c>
      <c r="AP142" s="60">
        <f t="shared" si="41"/>
        <v>0.7</v>
      </c>
      <c r="AQ142" s="61">
        <f t="shared" si="42"/>
        <v>2.7914110429447851</v>
      </c>
    </row>
    <row r="143" spans="1:43">
      <c r="A143" s="22" t="s">
        <v>490</v>
      </c>
      <c r="B143" s="22" t="s">
        <v>291</v>
      </c>
      <c r="C143" s="24" t="s">
        <v>387</v>
      </c>
      <c r="D143" s="25">
        <v>1</v>
      </c>
      <c r="E143" s="26" t="s">
        <v>770</v>
      </c>
      <c r="F143" s="20"/>
      <c r="G143" s="27">
        <v>2270</v>
      </c>
      <c r="H143" s="20"/>
      <c r="I143" s="20"/>
      <c r="J143" s="28">
        <v>262</v>
      </c>
      <c r="K143" s="29" t="s">
        <v>116</v>
      </c>
      <c r="L143" s="29" t="s">
        <v>147</v>
      </c>
      <c r="M143" s="28" t="s">
        <v>605</v>
      </c>
      <c r="N143" s="29" t="s">
        <v>148</v>
      </c>
      <c r="O143" s="29" t="s">
        <v>790</v>
      </c>
      <c r="P143" s="37">
        <v>0</v>
      </c>
      <c r="Q143" s="30" t="s">
        <v>25</v>
      </c>
      <c r="R143" s="30" t="s">
        <v>789</v>
      </c>
      <c r="S143" s="28">
        <v>2026</v>
      </c>
      <c r="T143" s="32">
        <v>46295</v>
      </c>
      <c r="U143" s="31">
        <v>0.64170000000000005</v>
      </c>
      <c r="V143" s="31">
        <v>0.30000000000000004</v>
      </c>
      <c r="W143" s="36">
        <f t="shared" si="34"/>
        <v>0.94170000000000009</v>
      </c>
      <c r="X143" s="31">
        <v>0.05</v>
      </c>
      <c r="Y143" s="31">
        <v>9.0000000000000011E-2</v>
      </c>
      <c r="Z143" s="31">
        <v>6.8000000000000005E-2</v>
      </c>
      <c r="AA143" s="52">
        <v>0.19800000000000001</v>
      </c>
      <c r="AB143" s="31">
        <v>5.8299999999999907E-2</v>
      </c>
      <c r="AC143" s="50">
        <f t="shared" si="43"/>
        <v>132640.98000000001</v>
      </c>
      <c r="AD143" s="32"/>
      <c r="AE143" s="20">
        <f t="shared" si="35"/>
        <v>0</v>
      </c>
      <c r="AF143" s="52">
        <f t="shared" si="36"/>
        <v>0</v>
      </c>
      <c r="AG143" s="54">
        <f t="shared" si="37"/>
        <v>21.62047974</v>
      </c>
      <c r="AH143" s="20">
        <v>163</v>
      </c>
      <c r="AI143" s="20">
        <v>219.24128925619837</v>
      </c>
      <c r="AJ143" s="20">
        <v>605</v>
      </c>
      <c r="AK143" s="20">
        <v>600</v>
      </c>
      <c r="AL143" s="54">
        <f t="shared" si="38"/>
        <v>79.584588000000011</v>
      </c>
      <c r="AM143" s="54">
        <f t="shared" si="39"/>
        <v>51.069430119600014</v>
      </c>
      <c r="AN143" s="33">
        <v>131544.77355371902</v>
      </c>
      <c r="AO143" s="56">
        <f t="shared" si="40"/>
        <v>35736.330148760331</v>
      </c>
      <c r="AP143" s="58">
        <f t="shared" si="41"/>
        <v>0.7</v>
      </c>
      <c r="AQ143" s="59">
        <f t="shared" si="42"/>
        <v>2.5766871165644174</v>
      </c>
    </row>
    <row r="144" spans="1:43">
      <c r="A144" s="22" t="s">
        <v>795</v>
      </c>
      <c r="B144" s="22" t="s">
        <v>292</v>
      </c>
      <c r="C144" s="24" t="s">
        <v>387</v>
      </c>
      <c r="D144" s="38">
        <v>1</v>
      </c>
      <c r="E144" s="39" t="s">
        <v>770</v>
      </c>
      <c r="F144" s="40"/>
      <c r="G144" s="41">
        <v>2270</v>
      </c>
      <c r="H144" s="40"/>
      <c r="I144" s="40"/>
      <c r="J144" s="42">
        <v>263</v>
      </c>
      <c r="K144" s="43" t="s">
        <v>116</v>
      </c>
      <c r="L144" s="43" t="s">
        <v>147</v>
      </c>
      <c r="M144" s="42" t="s">
        <v>605</v>
      </c>
      <c r="N144" s="43" t="s">
        <v>149</v>
      </c>
      <c r="O144" s="43" t="s">
        <v>790</v>
      </c>
      <c r="P144" s="44">
        <v>0</v>
      </c>
      <c r="Q144" s="45" t="s">
        <v>25</v>
      </c>
      <c r="R144" s="45" t="s">
        <v>26</v>
      </c>
      <c r="S144" s="42">
        <v>2027</v>
      </c>
      <c r="T144" s="46">
        <v>46660</v>
      </c>
      <c r="U144" s="47">
        <v>0.64170000000000005</v>
      </c>
      <c r="V144" s="47">
        <v>0.30000000000000004</v>
      </c>
      <c r="W144" s="48">
        <f t="shared" si="34"/>
        <v>0.94170000000000009</v>
      </c>
      <c r="X144" s="47">
        <v>0.05</v>
      </c>
      <c r="Y144" s="47">
        <v>9.0000000000000011E-2</v>
      </c>
      <c r="Z144" s="47">
        <v>6.8000000000000005E-2</v>
      </c>
      <c r="AA144" s="53">
        <v>0.19800000000000001</v>
      </c>
      <c r="AB144" s="47">
        <v>5.8299999999999907E-2</v>
      </c>
      <c r="AC144" s="51">
        <f t="shared" si="43"/>
        <v>227237.2</v>
      </c>
      <c r="AD144" s="46"/>
      <c r="AE144" s="40">
        <f t="shared" si="35"/>
        <v>0</v>
      </c>
      <c r="AF144" s="53">
        <f t="shared" si="36"/>
        <v>0</v>
      </c>
      <c r="AG144" s="55">
        <f t="shared" si="37"/>
        <v>37.039663600000004</v>
      </c>
      <c r="AH144" s="40">
        <v>163</v>
      </c>
      <c r="AI144" s="40">
        <v>229.99716599190285</v>
      </c>
      <c r="AJ144" s="40">
        <v>988</v>
      </c>
      <c r="AK144" s="40">
        <v>600</v>
      </c>
      <c r="AL144" s="55">
        <f t="shared" si="38"/>
        <v>136.34232</v>
      </c>
      <c r="AM144" s="55">
        <f t="shared" si="39"/>
        <v>87.490866744000002</v>
      </c>
      <c r="AN144" s="49">
        <v>137998.2995951417</v>
      </c>
      <c r="AO144" s="57">
        <f t="shared" si="40"/>
        <v>37489.538056680161</v>
      </c>
      <c r="AP144" s="60">
        <f t="shared" si="41"/>
        <v>0.7</v>
      </c>
      <c r="AQ144" s="61">
        <f t="shared" si="42"/>
        <v>2.576687116564417</v>
      </c>
    </row>
    <row r="145" spans="1:43">
      <c r="A145" s="22" t="s">
        <v>492</v>
      </c>
      <c r="B145" s="22" t="s">
        <v>294</v>
      </c>
      <c r="C145" s="24" t="s">
        <v>385</v>
      </c>
      <c r="D145" s="25">
        <v>0</v>
      </c>
      <c r="E145" s="26" t="s">
        <v>770</v>
      </c>
      <c r="F145" s="20"/>
      <c r="G145" s="27">
        <v>2290</v>
      </c>
      <c r="H145" s="20"/>
      <c r="I145" s="20"/>
      <c r="J145" s="28">
        <v>265</v>
      </c>
      <c r="K145" s="29" t="s">
        <v>116</v>
      </c>
      <c r="L145" s="29" t="s">
        <v>151</v>
      </c>
      <c r="M145" s="28" t="s">
        <v>593</v>
      </c>
      <c r="N145" s="29" t="s">
        <v>24</v>
      </c>
      <c r="O145" s="29" t="s">
        <v>790</v>
      </c>
      <c r="P145" s="37">
        <v>0</v>
      </c>
      <c r="Q145" s="30" t="s">
        <v>25</v>
      </c>
      <c r="R145" s="30" t="s">
        <v>789</v>
      </c>
      <c r="S145" s="28">
        <v>2030</v>
      </c>
      <c r="T145" s="32">
        <v>47756</v>
      </c>
      <c r="U145" s="31">
        <v>0.7</v>
      </c>
      <c r="V145" s="31">
        <v>0.30000000000000004</v>
      </c>
      <c r="W145" s="36">
        <f t="shared" si="34"/>
        <v>1</v>
      </c>
      <c r="X145" s="31">
        <v>0.05</v>
      </c>
      <c r="Y145" s="31">
        <v>0</v>
      </c>
      <c r="Z145" s="31">
        <v>6.8000000000000005E-2</v>
      </c>
      <c r="AA145" s="52">
        <v>0.19800000000000001</v>
      </c>
      <c r="AB145" s="31"/>
      <c r="AC145" s="50">
        <f t="shared" si="43"/>
        <v>269699.39250743313</v>
      </c>
      <c r="AD145" s="32"/>
      <c r="AE145" s="20">
        <f t="shared" si="35"/>
        <v>0</v>
      </c>
      <c r="AF145" s="52">
        <f t="shared" si="36"/>
        <v>0</v>
      </c>
      <c r="AG145" s="54">
        <f t="shared" si="37"/>
        <v>43.961000978711603</v>
      </c>
      <c r="AH145" s="20">
        <v>163</v>
      </c>
      <c r="AI145" s="20">
        <v>269.16107036669973</v>
      </c>
      <c r="AJ145" s="20">
        <v>1002</v>
      </c>
      <c r="AK145" s="20">
        <v>600</v>
      </c>
      <c r="AL145" s="54">
        <f t="shared" si="38"/>
        <v>161.81963550445988</v>
      </c>
      <c r="AM145" s="54">
        <f t="shared" si="39"/>
        <v>113.27374485312191</v>
      </c>
      <c r="AN145" s="33">
        <v>161496.64222001983</v>
      </c>
      <c r="AO145" s="56">
        <f t="shared" si="40"/>
        <v>43873.254469772059</v>
      </c>
      <c r="AP145" s="58">
        <f t="shared" si="41"/>
        <v>0.7</v>
      </c>
      <c r="AQ145" s="59">
        <f t="shared" si="42"/>
        <v>2.576687116564417</v>
      </c>
    </row>
    <row r="146" spans="1:43">
      <c r="A146" s="22" t="s">
        <v>492</v>
      </c>
      <c r="B146" s="22" t="s">
        <v>295</v>
      </c>
      <c r="C146" s="24" t="s">
        <v>385</v>
      </c>
      <c r="D146" s="38">
        <v>0</v>
      </c>
      <c r="E146" s="39" t="s">
        <v>770</v>
      </c>
      <c r="F146" s="40"/>
      <c r="G146" s="41">
        <v>2290</v>
      </c>
      <c r="H146" s="40"/>
      <c r="I146" s="40"/>
      <c r="J146" s="42">
        <v>266</v>
      </c>
      <c r="K146" s="43" t="s">
        <v>116</v>
      </c>
      <c r="L146" s="43" t="s">
        <v>151</v>
      </c>
      <c r="M146" s="42" t="s">
        <v>593</v>
      </c>
      <c r="N146" s="43" t="s">
        <v>24</v>
      </c>
      <c r="O146" s="43" t="s">
        <v>790</v>
      </c>
      <c r="P146" s="44">
        <v>0</v>
      </c>
      <c r="Q146" s="45" t="s">
        <v>25</v>
      </c>
      <c r="R146" s="45" t="s">
        <v>26</v>
      </c>
      <c r="S146" s="42">
        <v>2032</v>
      </c>
      <c r="T146" s="46">
        <v>48487</v>
      </c>
      <c r="U146" s="47">
        <v>0.7</v>
      </c>
      <c r="V146" s="47">
        <v>0.30000000000000004</v>
      </c>
      <c r="W146" s="48">
        <f t="shared" si="34"/>
        <v>1</v>
      </c>
      <c r="X146" s="47">
        <v>0.05</v>
      </c>
      <c r="Y146" s="47">
        <v>0</v>
      </c>
      <c r="Z146" s="47">
        <v>6.8000000000000005E-2</v>
      </c>
      <c r="AA146" s="53">
        <v>0.19800000000000001</v>
      </c>
      <c r="AB146" s="47"/>
      <c r="AC146" s="51">
        <f t="shared" si="43"/>
        <v>134500</v>
      </c>
      <c r="AD146" s="46"/>
      <c r="AE146" s="40">
        <f t="shared" si="35"/>
        <v>0</v>
      </c>
      <c r="AF146" s="53">
        <f t="shared" si="36"/>
        <v>0</v>
      </c>
      <c r="AG146" s="55">
        <f t="shared" si="37"/>
        <v>21.923500000000001</v>
      </c>
      <c r="AH146" s="40">
        <v>163</v>
      </c>
      <c r="AI146" s="40">
        <v>269</v>
      </c>
      <c r="AJ146" s="40">
        <v>500</v>
      </c>
      <c r="AK146" s="40">
        <v>600</v>
      </c>
      <c r="AL146" s="55">
        <f t="shared" si="38"/>
        <v>80.7</v>
      </c>
      <c r="AM146" s="55">
        <f t="shared" si="39"/>
        <v>56.489999999999995</v>
      </c>
      <c r="AN146" s="49">
        <v>161400</v>
      </c>
      <c r="AO146" s="57">
        <f t="shared" si="40"/>
        <v>43847</v>
      </c>
      <c r="AP146" s="60">
        <f t="shared" si="41"/>
        <v>0.7</v>
      </c>
      <c r="AQ146" s="61">
        <f t="shared" si="42"/>
        <v>2.576687116564417</v>
      </c>
    </row>
    <row r="147" spans="1:43">
      <c r="A147" s="22" t="s">
        <v>493</v>
      </c>
      <c r="B147" s="22" t="s">
        <v>684</v>
      </c>
      <c r="C147" s="24" t="s">
        <v>384</v>
      </c>
      <c r="D147" s="25">
        <v>1</v>
      </c>
      <c r="E147" s="26" t="s">
        <v>769</v>
      </c>
      <c r="F147" s="20"/>
      <c r="G147" s="27">
        <v>2656</v>
      </c>
      <c r="H147" s="20"/>
      <c r="I147" s="20"/>
      <c r="J147" s="28">
        <v>267</v>
      </c>
      <c r="K147" s="29" t="s">
        <v>116</v>
      </c>
      <c r="L147" s="29" t="s">
        <v>152</v>
      </c>
      <c r="M147" s="28" t="s">
        <v>595</v>
      </c>
      <c r="N147" s="29" t="s">
        <v>153</v>
      </c>
      <c r="O147" s="29" t="s">
        <v>790</v>
      </c>
      <c r="P147" s="37">
        <v>0</v>
      </c>
      <c r="Q147" s="30" t="s">
        <v>25</v>
      </c>
      <c r="R147" s="30" t="s">
        <v>26</v>
      </c>
      <c r="S147" s="28">
        <v>2031</v>
      </c>
      <c r="T147" s="32">
        <v>48212</v>
      </c>
      <c r="U147" s="31">
        <v>0.7</v>
      </c>
      <c r="V147" s="31">
        <v>0.30000000000000004</v>
      </c>
      <c r="W147" s="36">
        <f t="shared" si="34"/>
        <v>1</v>
      </c>
      <c r="X147" s="31">
        <v>0.05</v>
      </c>
      <c r="Y147" s="31">
        <v>0</v>
      </c>
      <c r="Z147" s="31">
        <v>6.8000000000000005E-2</v>
      </c>
      <c r="AA147" s="52">
        <v>0.19800000000000001</v>
      </c>
      <c r="AB147" s="31"/>
      <c r="AC147" s="50">
        <f t="shared" si="43"/>
        <v>211978.4</v>
      </c>
      <c r="AD147" s="32"/>
      <c r="AE147" s="20">
        <f t="shared" si="35"/>
        <v>0</v>
      </c>
      <c r="AF147" s="52">
        <f t="shared" si="36"/>
        <v>0</v>
      </c>
      <c r="AG147" s="54">
        <f t="shared" si="37"/>
        <v>34.552479200000001</v>
      </c>
      <c r="AH147" s="20">
        <v>163</v>
      </c>
      <c r="AI147" s="20">
        <v>289.58797814207651</v>
      </c>
      <c r="AJ147" s="20">
        <v>732</v>
      </c>
      <c r="AK147" s="20">
        <v>600</v>
      </c>
      <c r="AL147" s="54">
        <f t="shared" si="38"/>
        <v>127.18704</v>
      </c>
      <c r="AM147" s="54">
        <f t="shared" si="39"/>
        <v>89.030927999999989</v>
      </c>
      <c r="AN147" s="33">
        <v>173752.78688524591</v>
      </c>
      <c r="AO147" s="56">
        <f t="shared" si="40"/>
        <v>47202.840437158469</v>
      </c>
      <c r="AP147" s="58">
        <f t="shared" si="41"/>
        <v>0.7</v>
      </c>
      <c r="AQ147" s="59">
        <f t="shared" si="42"/>
        <v>2.576687116564417</v>
      </c>
    </row>
    <row r="148" spans="1:43">
      <c r="A148" s="22" t="s">
        <v>495</v>
      </c>
      <c r="B148" s="22" t="s">
        <v>296</v>
      </c>
      <c r="C148" s="24" t="s">
        <v>382</v>
      </c>
      <c r="D148" s="38">
        <v>1</v>
      </c>
      <c r="E148" s="39" t="s">
        <v>769</v>
      </c>
      <c r="F148" s="40"/>
      <c r="G148" s="41">
        <v>2395</v>
      </c>
      <c r="H148" s="40"/>
      <c r="I148" s="40"/>
      <c r="J148" s="42">
        <v>269</v>
      </c>
      <c r="K148" s="43" t="s">
        <v>116</v>
      </c>
      <c r="L148" s="43" t="s">
        <v>155</v>
      </c>
      <c r="M148" s="42" t="s">
        <v>595</v>
      </c>
      <c r="N148" s="43" t="s">
        <v>24</v>
      </c>
      <c r="O148" s="43" t="s">
        <v>790</v>
      </c>
      <c r="P148" s="44">
        <v>0</v>
      </c>
      <c r="Q148" s="45" t="s">
        <v>25</v>
      </c>
      <c r="R148" s="45" t="s">
        <v>26</v>
      </c>
      <c r="S148" s="42">
        <v>2030</v>
      </c>
      <c r="T148" s="46">
        <v>47756</v>
      </c>
      <c r="U148" s="47">
        <v>0.7</v>
      </c>
      <c r="V148" s="47">
        <v>0.30000000000000004</v>
      </c>
      <c r="W148" s="48">
        <f t="shared" ref="W148:W179" si="44">SUM(U148:V148)</f>
        <v>1</v>
      </c>
      <c r="X148" s="47">
        <v>0.05</v>
      </c>
      <c r="Y148" s="47">
        <v>0</v>
      </c>
      <c r="Z148" s="47">
        <v>6.8000000000000005E-2</v>
      </c>
      <c r="AA148" s="53">
        <v>0.19800000000000001</v>
      </c>
      <c r="AB148" s="47"/>
      <c r="AC148" s="51">
        <f t="shared" si="43"/>
        <v>167801.36333333334</v>
      </c>
      <c r="AD148" s="46"/>
      <c r="AE148" s="40">
        <f t="shared" ref="AE148:AE179" si="45">P148/10^6</f>
        <v>0</v>
      </c>
      <c r="AF148" s="53">
        <f t="shared" ref="AF148:AF179" si="46">IF(AL148=0,0,AE148/AL148)</f>
        <v>0</v>
      </c>
      <c r="AG148" s="55">
        <f t="shared" ref="AG148:AG179" si="47">(AH148*AI148*AJ148)/10^6</f>
        <v>27.351622223333337</v>
      </c>
      <c r="AH148" s="40">
        <v>163</v>
      </c>
      <c r="AI148" s="40">
        <v>180.43157347670251</v>
      </c>
      <c r="AJ148" s="40">
        <v>930</v>
      </c>
      <c r="AK148" s="40">
        <v>600</v>
      </c>
      <c r="AL148" s="55">
        <f t="shared" ref="AL148:AL179" si="48">(AK148*AJ148*AI148)/10^6</f>
        <v>100.680818</v>
      </c>
      <c r="AM148" s="55">
        <f t="shared" ref="AM148:AM179" si="49">AL148*U148</f>
        <v>70.476572599999997</v>
      </c>
      <c r="AN148" s="49">
        <v>108258.94408602151</v>
      </c>
      <c r="AO148" s="57">
        <f t="shared" ref="AO148:AO179" si="50">AH148*AI148</f>
        <v>29410.346476702511</v>
      </c>
      <c r="AP148" s="60">
        <f t="shared" ref="AP148:AP179" si="51">U148+AB148</f>
        <v>0.7</v>
      </c>
      <c r="AQ148" s="61">
        <f t="shared" ref="AQ148:AQ179" si="52">AL148*AP148/(AG148+AE148)</f>
        <v>2.576687116564417</v>
      </c>
    </row>
    <row r="149" spans="1:43">
      <c r="A149" s="22" t="s">
        <v>495</v>
      </c>
      <c r="B149" s="22" t="s">
        <v>296</v>
      </c>
      <c r="C149" s="24" t="s">
        <v>382</v>
      </c>
      <c r="D149" s="25">
        <v>1</v>
      </c>
      <c r="E149" s="26" t="s">
        <v>769</v>
      </c>
      <c r="F149" s="20"/>
      <c r="G149" s="27">
        <v>2395</v>
      </c>
      <c r="H149" s="20"/>
      <c r="I149" s="20"/>
      <c r="J149" s="28">
        <v>270</v>
      </c>
      <c r="K149" s="29" t="s">
        <v>116</v>
      </c>
      <c r="L149" s="29" t="s">
        <v>155</v>
      </c>
      <c r="M149" s="28" t="s">
        <v>595</v>
      </c>
      <c r="N149" s="29" t="s">
        <v>24</v>
      </c>
      <c r="O149" s="29" t="s">
        <v>790</v>
      </c>
      <c r="P149" s="37">
        <v>0</v>
      </c>
      <c r="Q149" s="30" t="s">
        <v>25</v>
      </c>
      <c r="R149" s="30" t="s">
        <v>26</v>
      </c>
      <c r="S149" s="28">
        <v>2031</v>
      </c>
      <c r="T149" s="32">
        <v>48121</v>
      </c>
      <c r="U149" s="31">
        <v>0.7</v>
      </c>
      <c r="V149" s="31">
        <v>0.30000000000000004</v>
      </c>
      <c r="W149" s="36">
        <f t="shared" si="44"/>
        <v>1</v>
      </c>
      <c r="X149" s="31">
        <v>0.05</v>
      </c>
      <c r="Y149" s="31">
        <v>0</v>
      </c>
      <c r="Z149" s="31">
        <v>6.8000000000000005E-2</v>
      </c>
      <c r="AA149" s="52">
        <v>0.19800000000000001</v>
      </c>
      <c r="AB149" s="31"/>
      <c r="AC149" s="50">
        <f t="shared" si="43"/>
        <v>167801.36333333334</v>
      </c>
      <c r="AD149" s="32"/>
      <c r="AE149" s="20">
        <f t="shared" si="45"/>
        <v>0</v>
      </c>
      <c r="AF149" s="52">
        <f t="shared" si="46"/>
        <v>0</v>
      </c>
      <c r="AG149" s="54">
        <f t="shared" si="47"/>
        <v>27.351622223333337</v>
      </c>
      <c r="AH149" s="20">
        <v>163</v>
      </c>
      <c r="AI149" s="20">
        <v>180.43157347670251</v>
      </c>
      <c r="AJ149" s="20">
        <v>930</v>
      </c>
      <c r="AK149" s="20">
        <v>600</v>
      </c>
      <c r="AL149" s="54">
        <f t="shared" si="48"/>
        <v>100.680818</v>
      </c>
      <c r="AM149" s="54">
        <f t="shared" si="49"/>
        <v>70.476572599999997</v>
      </c>
      <c r="AN149" s="33">
        <v>108258.94408602151</v>
      </c>
      <c r="AO149" s="56">
        <f t="shared" si="50"/>
        <v>29410.346476702511</v>
      </c>
      <c r="AP149" s="58">
        <f t="shared" si="51"/>
        <v>0.7</v>
      </c>
      <c r="AQ149" s="59">
        <f t="shared" si="52"/>
        <v>2.576687116564417</v>
      </c>
    </row>
    <row r="150" spans="1:43">
      <c r="A150" s="22" t="s">
        <v>495</v>
      </c>
      <c r="B150" s="22" t="s">
        <v>296</v>
      </c>
      <c r="C150" s="24" t="s">
        <v>382</v>
      </c>
      <c r="D150" s="38">
        <v>1</v>
      </c>
      <c r="E150" s="39" t="s">
        <v>769</v>
      </c>
      <c r="F150" s="40"/>
      <c r="G150" s="41">
        <v>2395</v>
      </c>
      <c r="H150" s="40"/>
      <c r="I150" s="40"/>
      <c r="J150" s="42">
        <v>271</v>
      </c>
      <c r="K150" s="43" t="s">
        <v>116</v>
      </c>
      <c r="L150" s="43" t="s">
        <v>155</v>
      </c>
      <c r="M150" s="42" t="s">
        <v>595</v>
      </c>
      <c r="N150" s="43" t="s">
        <v>24</v>
      </c>
      <c r="O150" s="43" t="s">
        <v>790</v>
      </c>
      <c r="P150" s="44">
        <v>0</v>
      </c>
      <c r="Q150" s="45" t="s">
        <v>25</v>
      </c>
      <c r="R150" s="45" t="s">
        <v>26</v>
      </c>
      <c r="S150" s="42">
        <v>2032</v>
      </c>
      <c r="T150" s="46">
        <v>48487</v>
      </c>
      <c r="U150" s="47">
        <v>0.7</v>
      </c>
      <c r="V150" s="47">
        <v>0.30000000000000004</v>
      </c>
      <c r="W150" s="48">
        <f t="shared" si="44"/>
        <v>1</v>
      </c>
      <c r="X150" s="47">
        <v>0.05</v>
      </c>
      <c r="Y150" s="47">
        <v>0</v>
      </c>
      <c r="Z150" s="47">
        <v>6.8000000000000005E-2</v>
      </c>
      <c r="AA150" s="53">
        <v>0.19800000000000001</v>
      </c>
      <c r="AB150" s="47"/>
      <c r="AC150" s="51">
        <f t="shared" si="43"/>
        <v>167801.36333333334</v>
      </c>
      <c r="AD150" s="46"/>
      <c r="AE150" s="40">
        <f t="shared" si="45"/>
        <v>0</v>
      </c>
      <c r="AF150" s="53">
        <f t="shared" si="46"/>
        <v>0</v>
      </c>
      <c r="AG150" s="55">
        <f t="shared" si="47"/>
        <v>27.351622223333337</v>
      </c>
      <c r="AH150" s="40">
        <v>163</v>
      </c>
      <c r="AI150" s="40">
        <v>180.43157347670251</v>
      </c>
      <c r="AJ150" s="40">
        <v>930</v>
      </c>
      <c r="AK150" s="40">
        <v>600</v>
      </c>
      <c r="AL150" s="55">
        <f t="shared" si="48"/>
        <v>100.680818</v>
      </c>
      <c r="AM150" s="55">
        <f t="shared" si="49"/>
        <v>70.476572599999997</v>
      </c>
      <c r="AN150" s="49">
        <v>108258.94408602151</v>
      </c>
      <c r="AO150" s="57">
        <f t="shared" si="50"/>
        <v>29410.346476702511</v>
      </c>
      <c r="AP150" s="60">
        <f t="shared" si="51"/>
        <v>0.7</v>
      </c>
      <c r="AQ150" s="61">
        <f t="shared" si="52"/>
        <v>2.576687116564417</v>
      </c>
    </row>
    <row r="151" spans="1:43">
      <c r="A151" s="22" t="s">
        <v>468</v>
      </c>
      <c r="B151" s="22" t="s">
        <v>724</v>
      </c>
      <c r="C151" s="24" t="s">
        <v>404</v>
      </c>
      <c r="D151" s="25">
        <v>1</v>
      </c>
      <c r="E151" s="26" t="s">
        <v>769</v>
      </c>
      <c r="F151" s="20"/>
      <c r="G151" s="27">
        <v>2267</v>
      </c>
      <c r="H151" s="20"/>
      <c r="I151" s="20"/>
      <c r="J151" s="28">
        <v>217</v>
      </c>
      <c r="K151" s="29" t="s">
        <v>116</v>
      </c>
      <c r="L151" s="29" t="s">
        <v>118</v>
      </c>
      <c r="M151" s="28" t="s">
        <v>593</v>
      </c>
      <c r="N151" s="29" t="s">
        <v>119</v>
      </c>
      <c r="O151" s="29" t="s">
        <v>790</v>
      </c>
      <c r="P151" s="37">
        <v>0</v>
      </c>
      <c r="Q151" s="30" t="s">
        <v>25</v>
      </c>
      <c r="R151" s="30" t="s">
        <v>26</v>
      </c>
      <c r="S151" s="28">
        <v>2028</v>
      </c>
      <c r="T151" s="32">
        <v>46934</v>
      </c>
      <c r="U151" s="31">
        <v>0.68752499999999994</v>
      </c>
      <c r="V151" s="31">
        <v>0.25</v>
      </c>
      <c r="W151" s="36">
        <f t="shared" si="44"/>
        <v>0.93752499999999994</v>
      </c>
      <c r="X151" s="31">
        <v>0.05</v>
      </c>
      <c r="Y151" s="31">
        <v>0</v>
      </c>
      <c r="Z151" s="31">
        <v>6.8000000000000005E-2</v>
      </c>
      <c r="AA151" s="52">
        <v>0.19800000000000001</v>
      </c>
      <c r="AB151" s="31">
        <v>6.2475000000000058E-2</v>
      </c>
      <c r="AC151" s="50">
        <f t="shared" si="43"/>
        <v>203996</v>
      </c>
      <c r="AD151" s="32"/>
      <c r="AE151" s="20">
        <f t="shared" si="45"/>
        <v>0</v>
      </c>
      <c r="AF151" s="52">
        <f t="shared" si="46"/>
        <v>0</v>
      </c>
      <c r="AG151" s="54">
        <f t="shared" si="47"/>
        <v>28.559439999999999</v>
      </c>
      <c r="AH151" s="20">
        <v>140</v>
      </c>
      <c r="AI151" s="20">
        <v>313.357910906298</v>
      </c>
      <c r="AJ151" s="20">
        <v>651</v>
      </c>
      <c r="AK151" s="20">
        <v>500.00000000000006</v>
      </c>
      <c r="AL151" s="54">
        <f t="shared" si="48"/>
        <v>101.99800000000002</v>
      </c>
      <c r="AM151" s="54">
        <f t="shared" si="49"/>
        <v>70.126174950000006</v>
      </c>
      <c r="AN151" s="33">
        <v>156678.95545314901</v>
      </c>
      <c r="AO151" s="56">
        <f t="shared" si="50"/>
        <v>43870.107526881722</v>
      </c>
      <c r="AP151" s="58">
        <f t="shared" si="51"/>
        <v>0.75</v>
      </c>
      <c r="AQ151" s="59">
        <f t="shared" si="52"/>
        <v>2.6785714285714288</v>
      </c>
    </row>
    <row r="152" spans="1:43">
      <c r="A152" s="22" t="s">
        <v>494</v>
      </c>
      <c r="B152" s="22" t="s">
        <v>429</v>
      </c>
      <c r="C152" s="24" t="s">
        <v>383</v>
      </c>
      <c r="D152" s="38">
        <v>1</v>
      </c>
      <c r="E152" s="39" t="s">
        <v>770</v>
      </c>
      <c r="F152" s="40"/>
      <c r="G152" s="41" t="s">
        <v>783</v>
      </c>
      <c r="H152" s="40"/>
      <c r="I152" s="40"/>
      <c r="J152" s="42">
        <v>268</v>
      </c>
      <c r="K152" s="43" t="s">
        <v>116</v>
      </c>
      <c r="L152" s="43" t="s">
        <v>154</v>
      </c>
      <c r="M152" s="42" t="s">
        <v>595</v>
      </c>
      <c r="N152" s="43" t="s">
        <v>24</v>
      </c>
      <c r="O152" s="43" t="s">
        <v>790</v>
      </c>
      <c r="P152" s="44">
        <v>0</v>
      </c>
      <c r="Q152" s="45" t="s">
        <v>25</v>
      </c>
      <c r="R152" s="45" t="s">
        <v>26</v>
      </c>
      <c r="S152" s="42">
        <v>2032</v>
      </c>
      <c r="T152" s="46">
        <v>48578</v>
      </c>
      <c r="U152" s="47">
        <v>0.7</v>
      </c>
      <c r="V152" s="47">
        <v>0.30000000000000004</v>
      </c>
      <c r="W152" s="48">
        <f t="shared" si="44"/>
        <v>1</v>
      </c>
      <c r="X152" s="47">
        <v>0.05</v>
      </c>
      <c r="Y152" s="47">
        <v>0</v>
      </c>
      <c r="Z152" s="47">
        <v>6.8000000000000005E-2</v>
      </c>
      <c r="AA152" s="53">
        <v>0.19800000000000001</v>
      </c>
      <c r="AB152" s="47"/>
      <c r="AC152" s="51">
        <f t="shared" si="43"/>
        <v>96864</v>
      </c>
      <c r="AD152" s="46"/>
      <c r="AE152" s="40">
        <f t="shared" si="45"/>
        <v>0</v>
      </c>
      <c r="AF152" s="53">
        <f t="shared" si="46"/>
        <v>0</v>
      </c>
      <c r="AG152" s="55">
        <f t="shared" si="47"/>
        <v>15.788831999999999</v>
      </c>
      <c r="AH152" s="40">
        <v>163</v>
      </c>
      <c r="AI152" s="40">
        <v>232.28776978417267</v>
      </c>
      <c r="AJ152" s="40">
        <v>417</v>
      </c>
      <c r="AK152" s="40">
        <v>600</v>
      </c>
      <c r="AL152" s="55">
        <f t="shared" si="48"/>
        <v>58.118400000000001</v>
      </c>
      <c r="AM152" s="55">
        <f t="shared" si="49"/>
        <v>40.682879999999997</v>
      </c>
      <c r="AN152" s="49">
        <v>139372.66187050359</v>
      </c>
      <c r="AO152" s="57">
        <f t="shared" si="50"/>
        <v>37862.906474820142</v>
      </c>
      <c r="AP152" s="60">
        <f t="shared" si="51"/>
        <v>0.7</v>
      </c>
      <c r="AQ152" s="61">
        <f t="shared" si="52"/>
        <v>2.576687116564417</v>
      </c>
    </row>
    <row r="153" spans="1:43">
      <c r="A153" s="22" t="s">
        <v>766</v>
      </c>
      <c r="B153" s="22" t="s">
        <v>763</v>
      </c>
      <c r="C153" s="22"/>
      <c r="D153" s="25">
        <v>1</v>
      </c>
      <c r="E153" s="26" t="s">
        <v>770</v>
      </c>
      <c r="F153" s="20"/>
      <c r="G153" s="27">
        <v>2727</v>
      </c>
      <c r="H153" s="20"/>
      <c r="I153" s="20"/>
      <c r="J153" s="28"/>
      <c r="K153" s="29" t="s">
        <v>116</v>
      </c>
      <c r="L153" s="29" t="s">
        <v>764</v>
      </c>
      <c r="M153" s="28" t="s">
        <v>593</v>
      </c>
      <c r="N153" s="29" t="s">
        <v>765</v>
      </c>
      <c r="O153" s="29" t="s">
        <v>790</v>
      </c>
      <c r="P153" s="37">
        <v>0</v>
      </c>
      <c r="Q153" s="30" t="s">
        <v>78</v>
      </c>
      <c r="R153" s="30" t="s">
        <v>789</v>
      </c>
      <c r="S153" s="28" t="s">
        <v>26</v>
      </c>
      <c r="T153" s="32"/>
      <c r="U153" s="31">
        <v>0.56999999999999995</v>
      </c>
      <c r="V153" s="31">
        <v>0.43</v>
      </c>
      <c r="W153" s="36">
        <f t="shared" si="44"/>
        <v>1</v>
      </c>
      <c r="X153" s="31"/>
      <c r="Y153" s="31"/>
      <c r="Z153" s="31"/>
      <c r="AA153" s="52">
        <v>0.19800000000000001</v>
      </c>
      <c r="AB153" s="31"/>
      <c r="AC153" s="50">
        <v>184681</v>
      </c>
      <c r="AD153" s="32"/>
      <c r="AE153" s="20">
        <f t="shared" si="45"/>
        <v>0</v>
      </c>
      <c r="AF153" s="52">
        <f t="shared" si="46"/>
        <v>0</v>
      </c>
      <c r="AG153" s="54">
        <f t="shared" si="47"/>
        <v>72.25</v>
      </c>
      <c r="AH153" s="20">
        <v>500</v>
      </c>
      <c r="AI153" s="20">
        <v>850</v>
      </c>
      <c r="AJ153" s="20">
        <v>170</v>
      </c>
      <c r="AK153" s="20">
        <v>3500</v>
      </c>
      <c r="AL153" s="54">
        <f t="shared" si="48"/>
        <v>505.75</v>
      </c>
      <c r="AM153" s="54">
        <f t="shared" si="49"/>
        <v>288.27749999999997</v>
      </c>
      <c r="AN153" s="33">
        <v>1947336</v>
      </c>
      <c r="AO153" s="56">
        <f t="shared" si="50"/>
        <v>425000</v>
      </c>
      <c r="AP153" s="58">
        <f t="shared" si="51"/>
        <v>0.56999999999999995</v>
      </c>
      <c r="AQ153" s="59">
        <f t="shared" si="52"/>
        <v>3.9899999999999998</v>
      </c>
    </row>
    <row r="154" spans="1:43">
      <c r="A154" s="22" t="s">
        <v>518</v>
      </c>
      <c r="B154" s="22" t="s">
        <v>683</v>
      </c>
      <c r="C154" s="24" t="s">
        <v>365</v>
      </c>
      <c r="D154" s="38">
        <v>1</v>
      </c>
      <c r="E154" s="39" t="s">
        <v>770</v>
      </c>
      <c r="F154" s="40"/>
      <c r="G154" s="41">
        <v>2383</v>
      </c>
      <c r="H154" s="40"/>
      <c r="I154" s="40"/>
      <c r="J154" s="42">
        <v>314</v>
      </c>
      <c r="K154" s="43" t="s">
        <v>156</v>
      </c>
      <c r="L154" s="43" t="s">
        <v>758</v>
      </c>
      <c r="M154" s="42" t="s">
        <v>596</v>
      </c>
      <c r="N154" s="43" t="s">
        <v>608</v>
      </c>
      <c r="O154" s="43" t="s">
        <v>790</v>
      </c>
      <c r="P154" s="44">
        <v>0</v>
      </c>
      <c r="Q154" s="45" t="s">
        <v>25</v>
      </c>
      <c r="R154" s="45" t="s">
        <v>26</v>
      </c>
      <c r="S154" s="42">
        <v>2028</v>
      </c>
      <c r="T154" s="46">
        <v>46934</v>
      </c>
      <c r="U154" s="47">
        <v>0.64800000000000002</v>
      </c>
      <c r="V154" s="47">
        <v>0.18999999999999995</v>
      </c>
      <c r="W154" s="48">
        <f t="shared" si="44"/>
        <v>0.83799999999999997</v>
      </c>
      <c r="X154" s="47">
        <v>7.0000000000000007E-2</v>
      </c>
      <c r="Y154" s="47">
        <v>9.5000000000000001E-2</v>
      </c>
      <c r="Z154" s="47">
        <v>6.8000000000000005E-2</v>
      </c>
      <c r="AA154" s="53">
        <v>0.19800000000000001</v>
      </c>
      <c r="AB154" s="47">
        <v>0.16200000000000003</v>
      </c>
      <c r="AC154" s="51">
        <f>AI154*AJ154</f>
        <v>166930</v>
      </c>
      <c r="AD154" s="46"/>
      <c r="AE154" s="40">
        <f t="shared" si="45"/>
        <v>0</v>
      </c>
      <c r="AF154" s="53">
        <f t="shared" si="46"/>
        <v>0</v>
      </c>
      <c r="AG154" s="55">
        <f t="shared" si="47"/>
        <v>29.21275</v>
      </c>
      <c r="AH154" s="40">
        <v>175</v>
      </c>
      <c r="AI154" s="40">
        <v>160.04793863854266</v>
      </c>
      <c r="AJ154" s="40">
        <v>1043</v>
      </c>
      <c r="AK154" s="40">
        <v>550</v>
      </c>
      <c r="AL154" s="55">
        <f t="shared" si="48"/>
        <v>91.811499999999995</v>
      </c>
      <c r="AM154" s="55">
        <f t="shared" si="49"/>
        <v>59.493851999999997</v>
      </c>
      <c r="AN154" s="49">
        <v>88026.366251198458</v>
      </c>
      <c r="AO154" s="57">
        <f t="shared" si="50"/>
        <v>28008.389261744967</v>
      </c>
      <c r="AP154" s="60">
        <f t="shared" si="51"/>
        <v>0.81</v>
      </c>
      <c r="AQ154" s="61">
        <f t="shared" si="52"/>
        <v>2.5457142857142858</v>
      </c>
    </row>
    <row r="155" spans="1:43">
      <c r="A155" s="22" t="s">
        <v>518</v>
      </c>
      <c r="B155" s="22" t="s">
        <v>685</v>
      </c>
      <c r="C155" s="24" t="s">
        <v>365</v>
      </c>
      <c r="D155" s="25">
        <v>1</v>
      </c>
      <c r="E155" s="26" t="s">
        <v>770</v>
      </c>
      <c r="F155" s="20"/>
      <c r="G155" s="27">
        <v>2383</v>
      </c>
      <c r="H155" s="20"/>
      <c r="I155" s="20"/>
      <c r="J155" s="28">
        <v>315</v>
      </c>
      <c r="K155" s="29" t="s">
        <v>156</v>
      </c>
      <c r="L155" s="29" t="s">
        <v>758</v>
      </c>
      <c r="M155" s="28" t="s">
        <v>596</v>
      </c>
      <c r="N155" s="29" t="s">
        <v>609</v>
      </c>
      <c r="O155" s="29" t="s">
        <v>790</v>
      </c>
      <c r="P155" s="37">
        <v>0</v>
      </c>
      <c r="Q155" s="30" t="s">
        <v>25</v>
      </c>
      <c r="R155" s="30" t="s">
        <v>26</v>
      </c>
      <c r="S155" s="28">
        <v>2030</v>
      </c>
      <c r="T155" s="32">
        <v>47664</v>
      </c>
      <c r="U155" s="31">
        <v>0.64800000000000002</v>
      </c>
      <c r="V155" s="31">
        <v>0.18999999999999995</v>
      </c>
      <c r="W155" s="36">
        <f t="shared" si="44"/>
        <v>0.83799999999999997</v>
      </c>
      <c r="X155" s="31">
        <v>7.0000000000000007E-2</v>
      </c>
      <c r="Y155" s="31">
        <v>9.5000000000000001E-2</v>
      </c>
      <c r="Z155" s="31">
        <v>6.8000000000000005E-2</v>
      </c>
      <c r="AA155" s="52">
        <v>0.19800000000000001</v>
      </c>
      <c r="AB155" s="31">
        <v>0.16200000000000003</v>
      </c>
      <c r="AC155" s="50">
        <f>AI155*AJ155</f>
        <v>166770</v>
      </c>
      <c r="AD155" s="32"/>
      <c r="AE155" s="20">
        <f t="shared" si="45"/>
        <v>0</v>
      </c>
      <c r="AF155" s="52">
        <f t="shared" si="46"/>
        <v>0</v>
      </c>
      <c r="AG155" s="54">
        <f t="shared" si="47"/>
        <v>29.184750000000005</v>
      </c>
      <c r="AH155" s="20">
        <v>175</v>
      </c>
      <c r="AI155" s="20">
        <v>160.04798464491364</v>
      </c>
      <c r="AJ155" s="20">
        <v>1042</v>
      </c>
      <c r="AK155" s="20">
        <v>550</v>
      </c>
      <c r="AL155" s="54">
        <f t="shared" si="48"/>
        <v>91.723500000000001</v>
      </c>
      <c r="AM155" s="54">
        <f t="shared" si="49"/>
        <v>59.436828000000006</v>
      </c>
      <c r="AN155" s="33">
        <v>88026.391554702495</v>
      </c>
      <c r="AO155" s="56">
        <f t="shared" si="50"/>
        <v>28008.397312859888</v>
      </c>
      <c r="AP155" s="58">
        <f t="shared" si="51"/>
        <v>0.81</v>
      </c>
      <c r="AQ155" s="59">
        <f t="shared" si="52"/>
        <v>2.5457142857142854</v>
      </c>
    </row>
    <row r="156" spans="1:43">
      <c r="A156" s="22" t="s">
        <v>496</v>
      </c>
      <c r="B156" s="22" t="s">
        <v>686</v>
      </c>
      <c r="C156" s="24" t="s">
        <v>381</v>
      </c>
      <c r="D156" s="38">
        <v>1</v>
      </c>
      <c r="E156" s="39" t="s">
        <v>770</v>
      </c>
      <c r="F156" s="40"/>
      <c r="G156" s="41">
        <v>2372</v>
      </c>
      <c r="H156" s="40"/>
      <c r="I156" s="40"/>
      <c r="J156" s="42">
        <v>272</v>
      </c>
      <c r="K156" s="43" t="s">
        <v>156</v>
      </c>
      <c r="L156" s="43" t="s">
        <v>157</v>
      </c>
      <c r="M156" s="42" t="s">
        <v>596</v>
      </c>
      <c r="N156" s="43" t="s">
        <v>617</v>
      </c>
      <c r="O156" s="43" t="s">
        <v>790</v>
      </c>
      <c r="P156" s="44">
        <v>0</v>
      </c>
      <c r="Q156" s="45" t="s">
        <v>25</v>
      </c>
      <c r="R156" s="45" t="s">
        <v>789</v>
      </c>
      <c r="S156" s="42">
        <v>2027</v>
      </c>
      <c r="T156" s="46">
        <v>46752</v>
      </c>
      <c r="U156" s="47">
        <v>0.57199999999999995</v>
      </c>
      <c r="V156" s="47">
        <v>0.28500000000000003</v>
      </c>
      <c r="W156" s="48">
        <f t="shared" si="44"/>
        <v>0.85699999999999998</v>
      </c>
      <c r="X156" s="47">
        <v>7.0000000000000007E-2</v>
      </c>
      <c r="Y156" s="47">
        <v>0</v>
      </c>
      <c r="Z156" s="47">
        <v>6.8000000000000005E-2</v>
      </c>
      <c r="AA156" s="53">
        <v>0.19800000000000001</v>
      </c>
      <c r="AB156" s="47">
        <v>0.14300000000000002</v>
      </c>
      <c r="AC156" s="51">
        <v>88108</v>
      </c>
      <c r="AD156" s="46"/>
      <c r="AE156" s="40">
        <f t="shared" si="45"/>
        <v>0</v>
      </c>
      <c r="AF156" s="53">
        <f t="shared" si="46"/>
        <v>0</v>
      </c>
      <c r="AG156" s="55">
        <f t="shared" si="47"/>
        <v>15.412599999999999</v>
      </c>
      <c r="AH156" s="40">
        <v>175</v>
      </c>
      <c r="AI156" s="40">
        <v>218</v>
      </c>
      <c r="AJ156" s="40">
        <v>404</v>
      </c>
      <c r="AK156" s="40">
        <v>600</v>
      </c>
      <c r="AL156" s="55">
        <f t="shared" si="48"/>
        <v>52.843200000000003</v>
      </c>
      <c r="AM156" s="55">
        <f t="shared" si="49"/>
        <v>30.226310399999999</v>
      </c>
      <c r="AN156" s="49">
        <v>131946</v>
      </c>
      <c r="AO156" s="57">
        <f t="shared" si="50"/>
        <v>38150</v>
      </c>
      <c r="AP156" s="60">
        <f t="shared" si="51"/>
        <v>0.71499999999999997</v>
      </c>
      <c r="AQ156" s="61">
        <f t="shared" si="52"/>
        <v>2.4514285714285715</v>
      </c>
    </row>
    <row r="157" spans="1:43">
      <c r="A157" s="22" t="s">
        <v>496</v>
      </c>
      <c r="B157" s="22" t="s">
        <v>687</v>
      </c>
      <c r="C157" s="24" t="s">
        <v>381</v>
      </c>
      <c r="D157" s="25">
        <v>1</v>
      </c>
      <c r="E157" s="26" t="s">
        <v>770</v>
      </c>
      <c r="F157" s="20"/>
      <c r="G157" s="27">
        <v>2372</v>
      </c>
      <c r="H157" s="20"/>
      <c r="I157" s="20"/>
      <c r="J157" s="28">
        <v>273</v>
      </c>
      <c r="K157" s="29" t="s">
        <v>156</v>
      </c>
      <c r="L157" s="29" t="s">
        <v>157</v>
      </c>
      <c r="M157" s="28" t="s">
        <v>596</v>
      </c>
      <c r="N157" s="29" t="s">
        <v>618</v>
      </c>
      <c r="O157" s="29" t="s">
        <v>790</v>
      </c>
      <c r="P157" s="37">
        <v>0</v>
      </c>
      <c r="Q157" s="30" t="s">
        <v>25</v>
      </c>
      <c r="R157" s="30" t="s">
        <v>26</v>
      </c>
      <c r="S157" s="28">
        <v>2028</v>
      </c>
      <c r="T157" s="32">
        <v>47118</v>
      </c>
      <c r="U157" s="31">
        <v>0.8</v>
      </c>
      <c r="V157" s="31"/>
      <c r="W157" s="36">
        <f t="shared" si="44"/>
        <v>0.8</v>
      </c>
      <c r="X157" s="31"/>
      <c r="Y157" s="31"/>
      <c r="Z157" s="31"/>
      <c r="AA157" s="52">
        <v>0.19800000000000001</v>
      </c>
      <c r="AB157" s="31">
        <v>0.19999999999999996</v>
      </c>
      <c r="AC157" s="50">
        <f>AI157*AJ157</f>
        <v>46181.9</v>
      </c>
      <c r="AD157" s="32"/>
      <c r="AE157" s="20">
        <f t="shared" si="45"/>
        <v>0</v>
      </c>
      <c r="AF157" s="52">
        <f t="shared" si="46"/>
        <v>0</v>
      </c>
      <c r="AG157" s="54">
        <f t="shared" si="47"/>
        <v>8.0818325000000009</v>
      </c>
      <c r="AH157" s="20">
        <v>175</v>
      </c>
      <c r="AI157" s="20">
        <v>219.91380952380953</v>
      </c>
      <c r="AJ157" s="20">
        <v>210</v>
      </c>
      <c r="AK157" s="20">
        <v>600</v>
      </c>
      <c r="AL157" s="54">
        <f t="shared" si="48"/>
        <v>27.709140000000001</v>
      </c>
      <c r="AM157" s="54">
        <f t="shared" si="49"/>
        <v>22.167312000000003</v>
      </c>
      <c r="AN157" s="33">
        <v>131948.29</v>
      </c>
      <c r="AO157" s="56">
        <f t="shared" si="50"/>
        <v>38484.916666666672</v>
      </c>
      <c r="AP157" s="58">
        <f t="shared" si="51"/>
        <v>1</v>
      </c>
      <c r="AQ157" s="59">
        <f t="shared" si="52"/>
        <v>3.4285714285714284</v>
      </c>
    </row>
    <row r="158" spans="1:43">
      <c r="A158" s="22" t="s">
        <v>496</v>
      </c>
      <c r="B158" s="22" t="s">
        <v>688</v>
      </c>
      <c r="C158" s="24" t="s">
        <v>381</v>
      </c>
      <c r="D158" s="38">
        <v>1</v>
      </c>
      <c r="E158" s="39" t="s">
        <v>770</v>
      </c>
      <c r="F158" s="40"/>
      <c r="G158" s="41">
        <v>2372</v>
      </c>
      <c r="H158" s="40"/>
      <c r="I158" s="40"/>
      <c r="J158" s="42">
        <v>274</v>
      </c>
      <c r="K158" s="43" t="s">
        <v>156</v>
      </c>
      <c r="L158" s="43" t="s">
        <v>157</v>
      </c>
      <c r="M158" s="42" t="s">
        <v>596</v>
      </c>
      <c r="N158" s="43" t="s">
        <v>619</v>
      </c>
      <c r="O158" s="43" t="s">
        <v>790</v>
      </c>
      <c r="P158" s="44">
        <v>0</v>
      </c>
      <c r="Q158" s="45" t="s">
        <v>25</v>
      </c>
      <c r="R158" s="45" t="s">
        <v>789</v>
      </c>
      <c r="S158" s="42">
        <v>2029</v>
      </c>
      <c r="T158" s="46">
        <v>47208</v>
      </c>
      <c r="U158" s="47">
        <v>0.57199999999999995</v>
      </c>
      <c r="V158" s="47">
        <v>0.28500000000000003</v>
      </c>
      <c r="W158" s="48">
        <f t="shared" si="44"/>
        <v>0.85699999999999998</v>
      </c>
      <c r="X158" s="47">
        <v>7.0000000000000007E-2</v>
      </c>
      <c r="Y158" s="47">
        <v>0</v>
      </c>
      <c r="Z158" s="47">
        <v>6.8000000000000005E-2</v>
      </c>
      <c r="AA158" s="53">
        <v>0.19800000000000001</v>
      </c>
      <c r="AB158" s="47">
        <v>0.14300000000000002</v>
      </c>
      <c r="AC158" s="51">
        <v>88108</v>
      </c>
      <c r="AD158" s="46"/>
      <c r="AE158" s="40">
        <f t="shared" si="45"/>
        <v>0</v>
      </c>
      <c r="AF158" s="53">
        <f t="shared" si="46"/>
        <v>0</v>
      </c>
      <c r="AG158" s="55">
        <f t="shared" si="47"/>
        <v>15.412599999999999</v>
      </c>
      <c r="AH158" s="40">
        <v>175</v>
      </c>
      <c r="AI158" s="40">
        <v>218</v>
      </c>
      <c r="AJ158" s="40">
        <v>404</v>
      </c>
      <c r="AK158" s="40">
        <v>600</v>
      </c>
      <c r="AL158" s="55">
        <f t="shared" si="48"/>
        <v>52.843200000000003</v>
      </c>
      <c r="AM158" s="55">
        <f t="shared" si="49"/>
        <v>30.226310399999999</v>
      </c>
      <c r="AN158" s="49">
        <v>156000</v>
      </c>
      <c r="AO158" s="57">
        <f t="shared" si="50"/>
        <v>38150</v>
      </c>
      <c r="AP158" s="60">
        <f t="shared" si="51"/>
        <v>0.71499999999999997</v>
      </c>
      <c r="AQ158" s="61">
        <f t="shared" si="52"/>
        <v>2.4514285714285715</v>
      </c>
    </row>
    <row r="159" spans="1:43">
      <c r="A159" s="22" t="s">
        <v>496</v>
      </c>
      <c r="B159" s="22" t="s">
        <v>689</v>
      </c>
      <c r="C159" s="24" t="s">
        <v>381</v>
      </c>
      <c r="D159" s="25">
        <v>1</v>
      </c>
      <c r="E159" s="26" t="s">
        <v>770</v>
      </c>
      <c r="F159" s="20"/>
      <c r="G159" s="27">
        <v>2372</v>
      </c>
      <c r="H159" s="20"/>
      <c r="I159" s="20"/>
      <c r="J159" s="28">
        <v>275</v>
      </c>
      <c r="K159" s="29" t="s">
        <v>156</v>
      </c>
      <c r="L159" s="29" t="s">
        <v>157</v>
      </c>
      <c r="M159" s="28" t="s">
        <v>596</v>
      </c>
      <c r="N159" s="29" t="s">
        <v>620</v>
      </c>
      <c r="O159" s="29" t="s">
        <v>790</v>
      </c>
      <c r="P159" s="37">
        <v>0</v>
      </c>
      <c r="Q159" s="30" t="s">
        <v>25</v>
      </c>
      <c r="R159" s="30" t="s">
        <v>26</v>
      </c>
      <c r="S159" s="28">
        <v>2028</v>
      </c>
      <c r="T159" s="32">
        <v>47118</v>
      </c>
      <c r="U159" s="31">
        <v>0.8</v>
      </c>
      <c r="V159" s="31"/>
      <c r="W159" s="36">
        <f t="shared" si="44"/>
        <v>0.8</v>
      </c>
      <c r="X159" s="31"/>
      <c r="Y159" s="31"/>
      <c r="Z159" s="31"/>
      <c r="AA159" s="52">
        <v>0.19800000000000001</v>
      </c>
      <c r="AB159" s="31">
        <v>0.19999999999999996</v>
      </c>
      <c r="AC159" s="50">
        <f t="shared" ref="AC159:AC190" si="53">AI159*AJ159</f>
        <v>20280</v>
      </c>
      <c r="AD159" s="32"/>
      <c r="AE159" s="20">
        <f t="shared" si="45"/>
        <v>0</v>
      </c>
      <c r="AF159" s="52">
        <f t="shared" si="46"/>
        <v>0</v>
      </c>
      <c r="AG159" s="54">
        <f t="shared" si="47"/>
        <v>3.5489999999999999</v>
      </c>
      <c r="AH159" s="20">
        <v>175</v>
      </c>
      <c r="AI159" s="20">
        <v>260</v>
      </c>
      <c r="AJ159" s="20">
        <v>78</v>
      </c>
      <c r="AK159" s="20">
        <v>600</v>
      </c>
      <c r="AL159" s="54">
        <f t="shared" si="48"/>
        <v>12.167999999999999</v>
      </c>
      <c r="AM159" s="54">
        <f t="shared" si="49"/>
        <v>9.7344000000000008</v>
      </c>
      <c r="AN159" s="33">
        <v>156000</v>
      </c>
      <c r="AO159" s="56">
        <f t="shared" si="50"/>
        <v>45500</v>
      </c>
      <c r="AP159" s="58">
        <f t="shared" si="51"/>
        <v>1</v>
      </c>
      <c r="AQ159" s="59">
        <f t="shared" si="52"/>
        <v>3.4285714285714284</v>
      </c>
    </row>
    <row r="160" spans="1:43">
      <c r="A160" s="22" t="s">
        <v>497</v>
      </c>
      <c r="B160" s="22" t="s">
        <v>690</v>
      </c>
      <c r="C160" s="24" t="s">
        <v>380</v>
      </c>
      <c r="D160" s="38">
        <v>1</v>
      </c>
      <c r="E160" s="39" t="s">
        <v>770</v>
      </c>
      <c r="F160" s="40"/>
      <c r="G160" s="41">
        <v>2377</v>
      </c>
      <c r="H160" s="40"/>
      <c r="I160" s="40"/>
      <c r="J160" s="42">
        <v>276</v>
      </c>
      <c r="K160" s="43" t="s">
        <v>156</v>
      </c>
      <c r="L160" s="43" t="s">
        <v>158</v>
      </c>
      <c r="M160" s="42" t="s">
        <v>596</v>
      </c>
      <c r="N160" s="43" t="s">
        <v>621</v>
      </c>
      <c r="O160" s="43" t="s">
        <v>790</v>
      </c>
      <c r="P160" s="44">
        <v>0</v>
      </c>
      <c r="Q160" s="45" t="s">
        <v>25</v>
      </c>
      <c r="R160" s="45" t="s">
        <v>789</v>
      </c>
      <c r="S160" s="42">
        <v>2028</v>
      </c>
      <c r="T160" s="46">
        <v>47118</v>
      </c>
      <c r="U160" s="47">
        <v>0.56000000000000005</v>
      </c>
      <c r="V160" s="47">
        <v>0.29999999999999993</v>
      </c>
      <c r="W160" s="48">
        <f t="shared" si="44"/>
        <v>0.86</v>
      </c>
      <c r="X160" s="47">
        <v>7.0000000000000007E-2</v>
      </c>
      <c r="Y160" s="47">
        <v>9.5000000000000001E-2</v>
      </c>
      <c r="Z160" s="47">
        <v>6.8000000000000005E-2</v>
      </c>
      <c r="AA160" s="53">
        <v>0.19800000000000001</v>
      </c>
      <c r="AB160" s="47">
        <v>0.14000000000000001</v>
      </c>
      <c r="AC160" s="51">
        <f t="shared" si="53"/>
        <v>253084.43999999997</v>
      </c>
      <c r="AD160" s="46"/>
      <c r="AE160" s="40">
        <f t="shared" si="45"/>
        <v>0</v>
      </c>
      <c r="AF160" s="53">
        <f t="shared" si="46"/>
        <v>0</v>
      </c>
      <c r="AG160" s="55">
        <f t="shared" si="47"/>
        <v>44.289776999999994</v>
      </c>
      <c r="AH160" s="40">
        <v>175</v>
      </c>
      <c r="AI160" s="40">
        <v>212.67599999999999</v>
      </c>
      <c r="AJ160" s="40">
        <v>1190</v>
      </c>
      <c r="AK160" s="40">
        <v>650</v>
      </c>
      <c r="AL160" s="55">
        <f t="shared" si="48"/>
        <v>164.504886</v>
      </c>
      <c r="AM160" s="55">
        <f t="shared" si="49"/>
        <v>92.122736160000002</v>
      </c>
      <c r="AN160" s="49">
        <v>136500</v>
      </c>
      <c r="AO160" s="57">
        <f t="shared" si="50"/>
        <v>37218.299999999996</v>
      </c>
      <c r="AP160" s="60">
        <f t="shared" si="51"/>
        <v>0.70000000000000007</v>
      </c>
      <c r="AQ160" s="61">
        <f t="shared" si="52"/>
        <v>2.6000000000000005</v>
      </c>
    </row>
    <row r="161" spans="1:43">
      <c r="A161" s="22" t="s">
        <v>497</v>
      </c>
      <c r="B161" s="22" t="s">
        <v>691</v>
      </c>
      <c r="C161" s="24" t="s">
        <v>380</v>
      </c>
      <c r="D161" s="25">
        <v>1</v>
      </c>
      <c r="E161" s="26" t="s">
        <v>770</v>
      </c>
      <c r="F161" s="20"/>
      <c r="G161" s="27">
        <v>2377</v>
      </c>
      <c r="H161" s="20"/>
      <c r="I161" s="20"/>
      <c r="J161" s="28">
        <v>277</v>
      </c>
      <c r="K161" s="29" t="s">
        <v>156</v>
      </c>
      <c r="L161" s="29" t="s">
        <v>158</v>
      </c>
      <c r="M161" s="28" t="s">
        <v>596</v>
      </c>
      <c r="N161" s="29" t="s">
        <v>622</v>
      </c>
      <c r="O161" s="29" t="s">
        <v>790</v>
      </c>
      <c r="P161" s="37">
        <v>0</v>
      </c>
      <c r="Q161" s="30" t="s">
        <v>25</v>
      </c>
      <c r="R161" s="30" t="s">
        <v>789</v>
      </c>
      <c r="S161" s="28">
        <v>2030</v>
      </c>
      <c r="T161" s="32">
        <v>47848</v>
      </c>
      <c r="U161" s="31">
        <v>0.56000000000000005</v>
      </c>
      <c r="V161" s="31">
        <v>0.29999999999999993</v>
      </c>
      <c r="W161" s="36">
        <f t="shared" si="44"/>
        <v>0.86</v>
      </c>
      <c r="X161" s="31">
        <v>7.0000000000000007E-2</v>
      </c>
      <c r="Y161" s="31">
        <v>9.5000000000000001E-2</v>
      </c>
      <c r="Z161" s="31">
        <v>6.8000000000000005E-2</v>
      </c>
      <c r="AA161" s="52">
        <v>0.19800000000000001</v>
      </c>
      <c r="AB161" s="31">
        <v>0.14000000000000001</v>
      </c>
      <c r="AC161" s="50">
        <f t="shared" si="53"/>
        <v>188921.595</v>
      </c>
      <c r="AD161" s="32"/>
      <c r="AE161" s="20">
        <f t="shared" si="45"/>
        <v>0</v>
      </c>
      <c r="AF161" s="52">
        <f t="shared" si="46"/>
        <v>0</v>
      </c>
      <c r="AG161" s="54">
        <f t="shared" si="47"/>
        <v>33.061279125000006</v>
      </c>
      <c r="AH161" s="20">
        <v>175</v>
      </c>
      <c r="AI161" s="20">
        <v>203.14150000000001</v>
      </c>
      <c r="AJ161" s="20">
        <v>930</v>
      </c>
      <c r="AK161" s="20">
        <v>650</v>
      </c>
      <c r="AL161" s="54">
        <f t="shared" si="48"/>
        <v>122.79903675</v>
      </c>
      <c r="AM161" s="54">
        <f t="shared" si="49"/>
        <v>68.767460580000005</v>
      </c>
      <c r="AN161" s="33">
        <v>136500</v>
      </c>
      <c r="AO161" s="56">
        <f t="shared" si="50"/>
        <v>35549.762500000004</v>
      </c>
      <c r="AP161" s="58">
        <f t="shared" si="51"/>
        <v>0.70000000000000007</v>
      </c>
      <c r="AQ161" s="59">
        <f t="shared" si="52"/>
        <v>2.6</v>
      </c>
    </row>
    <row r="162" spans="1:43">
      <c r="A162" s="22" t="s">
        <v>497</v>
      </c>
      <c r="B162" s="22" t="s">
        <v>692</v>
      </c>
      <c r="C162" s="24" t="s">
        <v>380</v>
      </c>
      <c r="D162" s="38">
        <v>1</v>
      </c>
      <c r="E162" s="39" t="s">
        <v>770</v>
      </c>
      <c r="F162" s="40"/>
      <c r="G162" s="41">
        <v>2377</v>
      </c>
      <c r="H162" s="40"/>
      <c r="I162" s="40"/>
      <c r="J162" s="42">
        <v>278</v>
      </c>
      <c r="K162" s="43" t="s">
        <v>156</v>
      </c>
      <c r="L162" s="43" t="s">
        <v>158</v>
      </c>
      <c r="M162" s="42" t="s">
        <v>596</v>
      </c>
      <c r="N162" s="43" t="s">
        <v>623</v>
      </c>
      <c r="O162" s="43" t="s">
        <v>790</v>
      </c>
      <c r="P162" s="44">
        <v>0</v>
      </c>
      <c r="Q162" s="45" t="s">
        <v>25</v>
      </c>
      <c r="R162" s="45" t="s">
        <v>26</v>
      </c>
      <c r="S162" s="42">
        <v>2029</v>
      </c>
      <c r="T162" s="46">
        <v>47483</v>
      </c>
      <c r="U162" s="47">
        <v>0.56000000000000005</v>
      </c>
      <c r="V162" s="47">
        <v>0.29999999999999993</v>
      </c>
      <c r="W162" s="48">
        <f t="shared" si="44"/>
        <v>0.86</v>
      </c>
      <c r="X162" s="47">
        <v>7.0000000000000007E-2</v>
      </c>
      <c r="Y162" s="47">
        <v>9.5000000000000001E-2</v>
      </c>
      <c r="Z162" s="47">
        <v>6.8000000000000005E-2</v>
      </c>
      <c r="AA162" s="53">
        <v>0.19800000000000001</v>
      </c>
      <c r="AB162" s="47">
        <v>0.14000000000000001</v>
      </c>
      <c r="AC162" s="51">
        <f t="shared" si="53"/>
        <v>220066.66666666669</v>
      </c>
      <c r="AD162" s="46"/>
      <c r="AE162" s="40">
        <f t="shared" si="45"/>
        <v>0</v>
      </c>
      <c r="AF162" s="53">
        <f t="shared" si="46"/>
        <v>0</v>
      </c>
      <c r="AG162" s="55">
        <f t="shared" si="47"/>
        <v>38.51166666666667</v>
      </c>
      <c r="AH162" s="40">
        <v>175</v>
      </c>
      <c r="AI162" s="40">
        <v>269.03015484922577</v>
      </c>
      <c r="AJ162" s="40">
        <v>818</v>
      </c>
      <c r="AK162" s="40">
        <v>650</v>
      </c>
      <c r="AL162" s="55">
        <f t="shared" si="48"/>
        <v>143.04333333333335</v>
      </c>
      <c r="AM162" s="55">
        <f t="shared" si="49"/>
        <v>80.104266666666689</v>
      </c>
      <c r="AN162" s="49">
        <v>174869.60065199673</v>
      </c>
      <c r="AO162" s="57">
        <f t="shared" si="50"/>
        <v>47080.277098614511</v>
      </c>
      <c r="AP162" s="60">
        <f t="shared" si="51"/>
        <v>0.70000000000000007</v>
      </c>
      <c r="AQ162" s="61">
        <f t="shared" si="52"/>
        <v>2.6</v>
      </c>
    </row>
    <row r="163" spans="1:43">
      <c r="A163" s="22" t="s">
        <v>498</v>
      </c>
      <c r="B163" s="22" t="s">
        <v>693</v>
      </c>
      <c r="C163" s="24" t="s">
        <v>380</v>
      </c>
      <c r="D163" s="25">
        <v>1</v>
      </c>
      <c r="E163" s="26" t="s">
        <v>770</v>
      </c>
      <c r="F163" s="20"/>
      <c r="G163" s="27">
        <v>2377</v>
      </c>
      <c r="H163" s="20"/>
      <c r="I163" s="20"/>
      <c r="J163" s="28">
        <v>279</v>
      </c>
      <c r="K163" s="29" t="s">
        <v>156</v>
      </c>
      <c r="L163" s="29" t="s">
        <v>158</v>
      </c>
      <c r="M163" s="28" t="s">
        <v>596</v>
      </c>
      <c r="N163" s="29" t="s">
        <v>624</v>
      </c>
      <c r="O163" s="29" t="s">
        <v>790</v>
      </c>
      <c r="P163" s="37">
        <v>0</v>
      </c>
      <c r="Q163" s="30" t="s">
        <v>25</v>
      </c>
      <c r="R163" s="30" t="s">
        <v>26</v>
      </c>
      <c r="S163" s="28">
        <v>2031</v>
      </c>
      <c r="T163" s="32">
        <v>48213</v>
      </c>
      <c r="U163" s="31">
        <v>0.56000000000000005</v>
      </c>
      <c r="V163" s="31">
        <v>0.29999999999999993</v>
      </c>
      <c r="W163" s="36">
        <f t="shared" si="44"/>
        <v>0.86</v>
      </c>
      <c r="X163" s="31">
        <v>7.0000000000000007E-2</v>
      </c>
      <c r="Y163" s="31">
        <v>9.5000000000000001E-2</v>
      </c>
      <c r="Z163" s="31">
        <v>6.8000000000000005E-2</v>
      </c>
      <c r="AA163" s="52">
        <v>0.19800000000000001</v>
      </c>
      <c r="AB163" s="31">
        <v>0.14000000000000001</v>
      </c>
      <c r="AC163" s="50">
        <f t="shared" si="53"/>
        <v>220066.66666666666</v>
      </c>
      <c r="AD163" s="32"/>
      <c r="AE163" s="20">
        <f t="shared" si="45"/>
        <v>0</v>
      </c>
      <c r="AF163" s="52">
        <f t="shared" si="46"/>
        <v>0</v>
      </c>
      <c r="AG163" s="54">
        <f t="shared" si="47"/>
        <v>38.511666666666663</v>
      </c>
      <c r="AH163" s="20">
        <v>175</v>
      </c>
      <c r="AI163" s="20">
        <v>269.35944512443899</v>
      </c>
      <c r="AJ163" s="20">
        <v>817</v>
      </c>
      <c r="AK163" s="20">
        <v>650</v>
      </c>
      <c r="AL163" s="54">
        <f t="shared" si="48"/>
        <v>143.04333333333332</v>
      </c>
      <c r="AM163" s="54">
        <f t="shared" si="49"/>
        <v>80.104266666666675</v>
      </c>
      <c r="AN163" s="33">
        <v>175083.63933088534</v>
      </c>
      <c r="AO163" s="56">
        <f t="shared" si="50"/>
        <v>47137.902896776824</v>
      </c>
      <c r="AP163" s="58">
        <f t="shared" si="51"/>
        <v>0.70000000000000007</v>
      </c>
      <c r="AQ163" s="59">
        <f t="shared" si="52"/>
        <v>2.6000000000000005</v>
      </c>
    </row>
    <row r="164" spans="1:43">
      <c r="A164" s="22" t="s">
        <v>499</v>
      </c>
      <c r="B164" s="22" t="s">
        <v>694</v>
      </c>
      <c r="C164" s="24" t="s">
        <v>380</v>
      </c>
      <c r="D164" s="38">
        <v>1</v>
      </c>
      <c r="E164" s="39" t="s">
        <v>770</v>
      </c>
      <c r="F164" s="40"/>
      <c r="G164" s="41">
        <v>2377</v>
      </c>
      <c r="H164" s="40"/>
      <c r="I164" s="40"/>
      <c r="J164" s="42">
        <v>280</v>
      </c>
      <c r="K164" s="43" t="s">
        <v>156</v>
      </c>
      <c r="L164" s="43" t="s">
        <v>158</v>
      </c>
      <c r="M164" s="42" t="s">
        <v>596</v>
      </c>
      <c r="N164" s="43" t="s">
        <v>625</v>
      </c>
      <c r="O164" s="43" t="s">
        <v>790</v>
      </c>
      <c r="P164" s="44">
        <v>0</v>
      </c>
      <c r="Q164" s="45" t="s">
        <v>25</v>
      </c>
      <c r="R164" s="45" t="s">
        <v>26</v>
      </c>
      <c r="S164" s="42">
        <v>2032</v>
      </c>
      <c r="T164" s="46">
        <v>48579</v>
      </c>
      <c r="U164" s="47">
        <v>0.56000000000000005</v>
      </c>
      <c r="V164" s="47">
        <v>0.29999999999999993</v>
      </c>
      <c r="W164" s="48">
        <f t="shared" si="44"/>
        <v>0.86</v>
      </c>
      <c r="X164" s="47">
        <v>7.0000000000000007E-2</v>
      </c>
      <c r="Y164" s="47">
        <v>9.5000000000000001E-2</v>
      </c>
      <c r="Z164" s="47">
        <v>6.8000000000000005E-2</v>
      </c>
      <c r="AA164" s="53">
        <v>0.19800000000000001</v>
      </c>
      <c r="AB164" s="47">
        <v>0.14000000000000001</v>
      </c>
      <c r="AC164" s="51">
        <f t="shared" si="53"/>
        <v>220066.66666666669</v>
      </c>
      <c r="AD164" s="46"/>
      <c r="AE164" s="40">
        <f t="shared" si="45"/>
        <v>0</v>
      </c>
      <c r="AF164" s="53">
        <f t="shared" si="46"/>
        <v>0</v>
      </c>
      <c r="AG164" s="55">
        <f t="shared" si="47"/>
        <v>38.51166666666667</v>
      </c>
      <c r="AH164" s="40">
        <v>175</v>
      </c>
      <c r="AI164" s="40">
        <v>269.03015484922577</v>
      </c>
      <c r="AJ164" s="40">
        <v>818</v>
      </c>
      <c r="AK164" s="40">
        <v>650</v>
      </c>
      <c r="AL164" s="55">
        <f t="shared" si="48"/>
        <v>143.04333333333335</v>
      </c>
      <c r="AM164" s="55">
        <f t="shared" si="49"/>
        <v>80.104266666666689</v>
      </c>
      <c r="AN164" s="49">
        <v>174869.60065199673</v>
      </c>
      <c r="AO164" s="57">
        <f t="shared" si="50"/>
        <v>47080.277098614511</v>
      </c>
      <c r="AP164" s="60">
        <f t="shared" si="51"/>
        <v>0.70000000000000007</v>
      </c>
      <c r="AQ164" s="61">
        <f t="shared" si="52"/>
        <v>2.6</v>
      </c>
    </row>
    <row r="165" spans="1:43">
      <c r="A165" s="22" t="s">
        <v>500</v>
      </c>
      <c r="B165" s="22" t="s">
        <v>695</v>
      </c>
      <c r="C165" s="24" t="s">
        <v>379</v>
      </c>
      <c r="D165" s="25">
        <v>1</v>
      </c>
      <c r="E165" s="26" t="s">
        <v>770</v>
      </c>
      <c r="F165" s="20"/>
      <c r="G165" s="27">
        <v>2381</v>
      </c>
      <c r="H165" s="20"/>
      <c r="I165" s="20"/>
      <c r="J165" s="28">
        <v>281</v>
      </c>
      <c r="K165" s="29" t="s">
        <v>156</v>
      </c>
      <c r="L165" s="29" t="s">
        <v>159</v>
      </c>
      <c r="M165" s="28" t="s">
        <v>596</v>
      </c>
      <c r="N165" s="29" t="s">
        <v>626</v>
      </c>
      <c r="O165" s="29" t="s">
        <v>790</v>
      </c>
      <c r="P165" s="37">
        <v>0</v>
      </c>
      <c r="Q165" s="30" t="s">
        <v>78</v>
      </c>
      <c r="R165" s="30" t="s">
        <v>789</v>
      </c>
      <c r="S165" s="28">
        <v>2029</v>
      </c>
      <c r="T165" s="32">
        <v>47483</v>
      </c>
      <c r="U165" s="31">
        <v>0.43409999999999999</v>
      </c>
      <c r="V165" s="31">
        <v>0.45740000000000003</v>
      </c>
      <c r="W165" s="36">
        <f t="shared" si="44"/>
        <v>0.89149999999999996</v>
      </c>
      <c r="X165" s="31">
        <v>7.0000000000000007E-2</v>
      </c>
      <c r="Y165" s="31">
        <v>0.06</v>
      </c>
      <c r="Z165" s="31">
        <v>6.8000000000000005E-2</v>
      </c>
      <c r="AA165" s="52">
        <v>0.19800000000000001</v>
      </c>
      <c r="AB165" s="31">
        <v>0.10850000000000004</v>
      </c>
      <c r="AC165" s="50">
        <f t="shared" si="53"/>
        <v>132000</v>
      </c>
      <c r="AD165" s="32"/>
      <c r="AE165" s="20">
        <f t="shared" si="45"/>
        <v>0</v>
      </c>
      <c r="AF165" s="52">
        <f t="shared" si="46"/>
        <v>0</v>
      </c>
      <c r="AG165" s="54">
        <f t="shared" si="47"/>
        <v>39.6</v>
      </c>
      <c r="AH165" s="20">
        <v>300</v>
      </c>
      <c r="AI165" s="20">
        <v>185.13323983169707</v>
      </c>
      <c r="AJ165" s="20">
        <v>713</v>
      </c>
      <c r="AK165" s="20">
        <v>1200</v>
      </c>
      <c r="AL165" s="54">
        <f t="shared" si="48"/>
        <v>158.4</v>
      </c>
      <c r="AM165" s="54">
        <f t="shared" si="49"/>
        <v>68.761439999999993</v>
      </c>
      <c r="AN165" s="33">
        <v>221952.36</v>
      </c>
      <c r="AO165" s="56">
        <f t="shared" si="50"/>
        <v>55539.971949509119</v>
      </c>
      <c r="AP165" s="58">
        <f t="shared" si="51"/>
        <v>0.54259999999999997</v>
      </c>
      <c r="AQ165" s="59">
        <f t="shared" si="52"/>
        <v>2.1703999999999999</v>
      </c>
    </row>
    <row r="166" spans="1:43">
      <c r="A166" s="22" t="s">
        <v>500</v>
      </c>
      <c r="B166" s="22" t="s">
        <v>695</v>
      </c>
      <c r="C166" s="24" t="s">
        <v>379</v>
      </c>
      <c r="D166" s="38">
        <v>1</v>
      </c>
      <c r="E166" s="39" t="s">
        <v>770</v>
      </c>
      <c r="F166" s="40"/>
      <c r="G166" s="41">
        <v>2381</v>
      </c>
      <c r="H166" s="40"/>
      <c r="I166" s="40"/>
      <c r="J166" s="42">
        <v>282</v>
      </c>
      <c r="K166" s="43" t="s">
        <v>156</v>
      </c>
      <c r="L166" s="43" t="s">
        <v>159</v>
      </c>
      <c r="M166" s="42" t="s">
        <v>596</v>
      </c>
      <c r="N166" s="43" t="s">
        <v>626</v>
      </c>
      <c r="O166" s="43" t="s">
        <v>790</v>
      </c>
      <c r="P166" s="44">
        <v>0</v>
      </c>
      <c r="Q166" s="45" t="s">
        <v>78</v>
      </c>
      <c r="R166" s="45" t="s">
        <v>789</v>
      </c>
      <c r="S166" s="42">
        <v>2031</v>
      </c>
      <c r="T166" s="46">
        <v>48213</v>
      </c>
      <c r="U166" s="47">
        <v>0.43409999999999999</v>
      </c>
      <c r="V166" s="47">
        <v>0.45740000000000003</v>
      </c>
      <c r="W166" s="48">
        <f t="shared" si="44"/>
        <v>0.89149999999999996</v>
      </c>
      <c r="X166" s="47">
        <v>7.0000000000000007E-2</v>
      </c>
      <c r="Y166" s="47">
        <v>0.06</v>
      </c>
      <c r="Z166" s="47">
        <v>6.8000000000000005E-2</v>
      </c>
      <c r="AA166" s="53">
        <v>0.19800000000000001</v>
      </c>
      <c r="AB166" s="47">
        <v>0.10850000000000004</v>
      </c>
      <c r="AC166" s="51">
        <f t="shared" si="53"/>
        <v>132000</v>
      </c>
      <c r="AD166" s="46"/>
      <c r="AE166" s="40">
        <f t="shared" si="45"/>
        <v>0</v>
      </c>
      <c r="AF166" s="53">
        <f t="shared" si="46"/>
        <v>0</v>
      </c>
      <c r="AG166" s="55">
        <f t="shared" si="47"/>
        <v>39.6</v>
      </c>
      <c r="AH166" s="40">
        <v>300</v>
      </c>
      <c r="AI166" s="40">
        <v>184.87394957983193</v>
      </c>
      <c r="AJ166" s="40">
        <v>714</v>
      </c>
      <c r="AK166" s="40">
        <v>1200</v>
      </c>
      <c r="AL166" s="55">
        <f t="shared" si="48"/>
        <v>158.4</v>
      </c>
      <c r="AM166" s="55">
        <f t="shared" si="49"/>
        <v>68.761439999999993</v>
      </c>
      <c r="AN166" s="49">
        <v>221952.36</v>
      </c>
      <c r="AO166" s="57">
        <f t="shared" si="50"/>
        <v>55462.184873949576</v>
      </c>
      <c r="AP166" s="60">
        <f t="shared" si="51"/>
        <v>0.54259999999999997</v>
      </c>
      <c r="AQ166" s="61">
        <f t="shared" si="52"/>
        <v>2.1703999999999999</v>
      </c>
    </row>
    <row r="167" spans="1:43">
      <c r="A167" s="22" t="s">
        <v>500</v>
      </c>
      <c r="B167" s="22" t="s">
        <v>695</v>
      </c>
      <c r="C167" s="24" t="s">
        <v>379</v>
      </c>
      <c r="D167" s="25">
        <v>1</v>
      </c>
      <c r="E167" s="26" t="s">
        <v>770</v>
      </c>
      <c r="F167" s="20"/>
      <c r="G167" s="27">
        <v>2381</v>
      </c>
      <c r="H167" s="20"/>
      <c r="I167" s="20"/>
      <c r="J167" s="28">
        <v>283</v>
      </c>
      <c r="K167" s="29" t="s">
        <v>156</v>
      </c>
      <c r="L167" s="29" t="s">
        <v>159</v>
      </c>
      <c r="M167" s="28" t="s">
        <v>596</v>
      </c>
      <c r="N167" s="29" t="s">
        <v>626</v>
      </c>
      <c r="O167" s="29" t="s">
        <v>790</v>
      </c>
      <c r="P167" s="37">
        <v>0</v>
      </c>
      <c r="Q167" s="30" t="s">
        <v>78</v>
      </c>
      <c r="R167" s="30" t="s">
        <v>789</v>
      </c>
      <c r="S167" s="28">
        <v>2033</v>
      </c>
      <c r="T167" s="32">
        <v>48944</v>
      </c>
      <c r="U167" s="31">
        <v>0.43409999999999999</v>
      </c>
      <c r="V167" s="31">
        <v>0.45740000000000003</v>
      </c>
      <c r="W167" s="36">
        <f t="shared" si="44"/>
        <v>0.89149999999999996</v>
      </c>
      <c r="X167" s="31">
        <v>7.0000000000000007E-2</v>
      </c>
      <c r="Y167" s="31">
        <v>0.06</v>
      </c>
      <c r="Z167" s="31">
        <v>6.8000000000000005E-2</v>
      </c>
      <c r="AA167" s="52">
        <v>0.19800000000000001</v>
      </c>
      <c r="AB167" s="31">
        <v>0.10850000000000004</v>
      </c>
      <c r="AC167" s="50">
        <f t="shared" si="53"/>
        <v>132000</v>
      </c>
      <c r="AD167" s="32"/>
      <c r="AE167" s="20">
        <f t="shared" si="45"/>
        <v>0</v>
      </c>
      <c r="AF167" s="52">
        <f t="shared" si="46"/>
        <v>0</v>
      </c>
      <c r="AG167" s="54">
        <f t="shared" si="47"/>
        <v>39.6</v>
      </c>
      <c r="AH167" s="20">
        <v>300</v>
      </c>
      <c r="AI167" s="20">
        <v>184.87394957983193</v>
      </c>
      <c r="AJ167" s="20">
        <v>714</v>
      </c>
      <c r="AK167" s="20">
        <v>1200</v>
      </c>
      <c r="AL167" s="54">
        <f t="shared" si="48"/>
        <v>158.4</v>
      </c>
      <c r="AM167" s="54">
        <f t="shared" si="49"/>
        <v>68.761439999999993</v>
      </c>
      <c r="AN167" s="33">
        <v>221952.36</v>
      </c>
      <c r="AO167" s="56">
        <f t="shared" si="50"/>
        <v>55462.184873949576</v>
      </c>
      <c r="AP167" s="58">
        <f t="shared" si="51"/>
        <v>0.54259999999999997</v>
      </c>
      <c r="AQ167" s="59">
        <f t="shared" si="52"/>
        <v>2.1703999999999999</v>
      </c>
    </row>
    <row r="168" spans="1:43">
      <c r="A168" s="22" t="s">
        <v>500</v>
      </c>
      <c r="B168" s="22" t="s">
        <v>696</v>
      </c>
      <c r="C168" s="24" t="s">
        <v>379</v>
      </c>
      <c r="D168" s="38">
        <v>1</v>
      </c>
      <c r="E168" s="39" t="s">
        <v>770</v>
      </c>
      <c r="F168" s="40"/>
      <c r="G168" s="41">
        <v>2381</v>
      </c>
      <c r="H168" s="40"/>
      <c r="I168" s="40"/>
      <c r="J168" s="42">
        <v>284</v>
      </c>
      <c r="K168" s="43" t="s">
        <v>156</v>
      </c>
      <c r="L168" s="43" t="s">
        <v>159</v>
      </c>
      <c r="M168" s="42" t="s">
        <v>596</v>
      </c>
      <c r="N168" s="43" t="s">
        <v>627</v>
      </c>
      <c r="O168" s="43" t="s">
        <v>790</v>
      </c>
      <c r="P168" s="44">
        <v>0</v>
      </c>
      <c r="Q168" s="45" t="s">
        <v>25</v>
      </c>
      <c r="R168" s="45" t="s">
        <v>26</v>
      </c>
      <c r="S168" s="42">
        <v>2028</v>
      </c>
      <c r="T168" s="46">
        <v>47118</v>
      </c>
      <c r="U168" s="47">
        <v>0.43409999999999999</v>
      </c>
      <c r="V168" s="47">
        <v>0.45740000000000003</v>
      </c>
      <c r="W168" s="48">
        <f t="shared" si="44"/>
        <v>0.89149999999999996</v>
      </c>
      <c r="X168" s="47">
        <v>7.0000000000000007E-2</v>
      </c>
      <c r="Y168" s="47">
        <v>0.06</v>
      </c>
      <c r="Z168" s="47">
        <v>6.8000000000000005E-2</v>
      </c>
      <c r="AA168" s="53">
        <v>0.19800000000000001</v>
      </c>
      <c r="AB168" s="47">
        <v>0.10850000000000004</v>
      </c>
      <c r="AC168" s="51">
        <f t="shared" si="53"/>
        <v>168000</v>
      </c>
      <c r="AD168" s="46"/>
      <c r="AE168" s="40">
        <f t="shared" si="45"/>
        <v>0</v>
      </c>
      <c r="AF168" s="53">
        <f t="shared" si="46"/>
        <v>0</v>
      </c>
      <c r="AG168" s="55">
        <f t="shared" si="47"/>
        <v>29.4</v>
      </c>
      <c r="AH168" s="40">
        <v>175</v>
      </c>
      <c r="AI168" s="40">
        <v>200</v>
      </c>
      <c r="AJ168" s="40">
        <v>840</v>
      </c>
      <c r="AK168" s="40">
        <v>700</v>
      </c>
      <c r="AL168" s="55">
        <f t="shared" si="48"/>
        <v>117.6</v>
      </c>
      <c r="AM168" s="55">
        <f t="shared" si="49"/>
        <v>51.050159999999998</v>
      </c>
      <c r="AN168" s="49">
        <v>140000</v>
      </c>
      <c r="AO168" s="57">
        <f t="shared" si="50"/>
        <v>35000</v>
      </c>
      <c r="AP168" s="60">
        <f t="shared" si="51"/>
        <v>0.54259999999999997</v>
      </c>
      <c r="AQ168" s="61">
        <f t="shared" si="52"/>
        <v>2.1703999999999999</v>
      </c>
    </row>
    <row r="169" spans="1:43">
      <c r="A169" s="22" t="s">
        <v>500</v>
      </c>
      <c r="B169" s="22" t="s">
        <v>696</v>
      </c>
      <c r="C169" s="24" t="s">
        <v>379</v>
      </c>
      <c r="D169" s="25">
        <v>1</v>
      </c>
      <c r="E169" s="26" t="s">
        <v>770</v>
      </c>
      <c r="F169" s="20"/>
      <c r="G169" s="27">
        <v>2381</v>
      </c>
      <c r="H169" s="20"/>
      <c r="I169" s="20"/>
      <c r="J169" s="28">
        <v>285</v>
      </c>
      <c r="K169" s="29" t="s">
        <v>156</v>
      </c>
      <c r="L169" s="29" t="s">
        <v>159</v>
      </c>
      <c r="M169" s="28" t="s">
        <v>596</v>
      </c>
      <c r="N169" s="29" t="s">
        <v>627</v>
      </c>
      <c r="O169" s="29" t="s">
        <v>790</v>
      </c>
      <c r="P169" s="37">
        <v>0</v>
      </c>
      <c r="Q169" s="30" t="s">
        <v>25</v>
      </c>
      <c r="R169" s="30" t="s">
        <v>26</v>
      </c>
      <c r="S169" s="28">
        <v>2030</v>
      </c>
      <c r="T169" s="32">
        <v>47848</v>
      </c>
      <c r="U169" s="31">
        <v>0.43409999999999999</v>
      </c>
      <c r="V169" s="31">
        <v>0.29899999999999999</v>
      </c>
      <c r="W169" s="36">
        <f t="shared" si="44"/>
        <v>0.73309999999999997</v>
      </c>
      <c r="X169" s="31">
        <v>7.0000000000000007E-2</v>
      </c>
      <c r="Y169" s="31">
        <v>0.06</v>
      </c>
      <c r="Z169" s="31">
        <v>6.8000000000000005E-2</v>
      </c>
      <c r="AA169" s="52">
        <v>0.19800000000000001</v>
      </c>
      <c r="AB169" s="31">
        <v>0.26690000000000003</v>
      </c>
      <c r="AC169" s="50">
        <f t="shared" si="53"/>
        <v>168000</v>
      </c>
      <c r="AD169" s="32"/>
      <c r="AE169" s="20">
        <f t="shared" si="45"/>
        <v>0</v>
      </c>
      <c r="AF169" s="52">
        <f t="shared" si="46"/>
        <v>0</v>
      </c>
      <c r="AG169" s="54">
        <f t="shared" si="47"/>
        <v>29.4</v>
      </c>
      <c r="AH169" s="20">
        <v>175</v>
      </c>
      <c r="AI169" s="20">
        <v>200</v>
      </c>
      <c r="AJ169" s="20">
        <v>840</v>
      </c>
      <c r="AK169" s="20">
        <v>700</v>
      </c>
      <c r="AL169" s="54">
        <f t="shared" si="48"/>
        <v>117.6</v>
      </c>
      <c r="AM169" s="54">
        <f t="shared" si="49"/>
        <v>51.050159999999998</v>
      </c>
      <c r="AN169" s="33">
        <v>140000</v>
      </c>
      <c r="AO169" s="56">
        <f t="shared" si="50"/>
        <v>35000</v>
      </c>
      <c r="AP169" s="58">
        <f t="shared" si="51"/>
        <v>0.70100000000000007</v>
      </c>
      <c r="AQ169" s="59">
        <f t="shared" si="52"/>
        <v>2.8040000000000003</v>
      </c>
    </row>
    <row r="170" spans="1:43">
      <c r="A170" s="22" t="s">
        <v>500</v>
      </c>
      <c r="B170" s="22" t="s">
        <v>696</v>
      </c>
      <c r="C170" s="24" t="s">
        <v>379</v>
      </c>
      <c r="D170" s="38">
        <v>1</v>
      </c>
      <c r="E170" s="39" t="s">
        <v>770</v>
      </c>
      <c r="F170" s="40"/>
      <c r="G170" s="41">
        <v>2381</v>
      </c>
      <c r="H170" s="40"/>
      <c r="I170" s="40"/>
      <c r="J170" s="42">
        <v>286</v>
      </c>
      <c r="K170" s="43" t="s">
        <v>156</v>
      </c>
      <c r="L170" s="43" t="s">
        <v>159</v>
      </c>
      <c r="M170" s="42" t="s">
        <v>596</v>
      </c>
      <c r="N170" s="43" t="s">
        <v>627</v>
      </c>
      <c r="O170" s="43" t="s">
        <v>790</v>
      </c>
      <c r="P170" s="44">
        <v>0</v>
      </c>
      <c r="Q170" s="45" t="s">
        <v>25</v>
      </c>
      <c r="R170" s="45" t="s">
        <v>26</v>
      </c>
      <c r="S170" s="42">
        <v>2032</v>
      </c>
      <c r="T170" s="46">
        <v>48579</v>
      </c>
      <c r="U170" s="47">
        <v>0.43409999999999999</v>
      </c>
      <c r="V170" s="47">
        <v>0.29899999999999999</v>
      </c>
      <c r="W170" s="48">
        <f t="shared" si="44"/>
        <v>0.73309999999999997</v>
      </c>
      <c r="X170" s="47">
        <v>7.0000000000000007E-2</v>
      </c>
      <c r="Y170" s="47">
        <v>0.06</v>
      </c>
      <c r="Z170" s="47">
        <v>6.8000000000000005E-2</v>
      </c>
      <c r="AA170" s="53">
        <v>0.19800000000000001</v>
      </c>
      <c r="AB170" s="47">
        <v>0.26690000000000003</v>
      </c>
      <c r="AC170" s="51">
        <f t="shared" si="53"/>
        <v>168000</v>
      </c>
      <c r="AD170" s="46"/>
      <c r="AE170" s="40">
        <f t="shared" si="45"/>
        <v>0</v>
      </c>
      <c r="AF170" s="53">
        <f t="shared" si="46"/>
        <v>0</v>
      </c>
      <c r="AG170" s="55">
        <f t="shared" si="47"/>
        <v>29.4</v>
      </c>
      <c r="AH170" s="40">
        <v>175</v>
      </c>
      <c r="AI170" s="40">
        <v>200</v>
      </c>
      <c r="AJ170" s="40">
        <v>840</v>
      </c>
      <c r="AK170" s="40">
        <v>700</v>
      </c>
      <c r="AL170" s="55">
        <f t="shared" si="48"/>
        <v>117.6</v>
      </c>
      <c r="AM170" s="55">
        <f t="shared" si="49"/>
        <v>51.050159999999998</v>
      </c>
      <c r="AN170" s="49">
        <v>140000</v>
      </c>
      <c r="AO170" s="57">
        <f t="shared" si="50"/>
        <v>35000</v>
      </c>
      <c r="AP170" s="60">
        <f t="shared" si="51"/>
        <v>0.70100000000000007</v>
      </c>
      <c r="AQ170" s="61">
        <f t="shared" si="52"/>
        <v>2.8040000000000003</v>
      </c>
    </row>
    <row r="171" spans="1:43">
      <c r="A171" s="22" t="s">
        <v>500</v>
      </c>
      <c r="B171" s="22" t="s">
        <v>697</v>
      </c>
      <c r="C171" s="24" t="s">
        <v>379</v>
      </c>
      <c r="D171" s="25">
        <v>1</v>
      </c>
      <c r="E171" s="26" t="s">
        <v>770</v>
      </c>
      <c r="F171" s="20"/>
      <c r="G171" s="27">
        <v>2381</v>
      </c>
      <c r="H171" s="20"/>
      <c r="I171" s="20"/>
      <c r="J171" s="28">
        <v>287</v>
      </c>
      <c r="K171" s="29" t="s">
        <v>156</v>
      </c>
      <c r="L171" s="29" t="s">
        <v>159</v>
      </c>
      <c r="M171" s="28" t="s">
        <v>596</v>
      </c>
      <c r="N171" s="29" t="s">
        <v>633</v>
      </c>
      <c r="O171" s="29" t="s">
        <v>790</v>
      </c>
      <c r="P171" s="37">
        <v>0</v>
      </c>
      <c r="Q171" s="30" t="s">
        <v>78</v>
      </c>
      <c r="R171" s="30" t="s">
        <v>26</v>
      </c>
      <c r="S171" s="28">
        <v>2030</v>
      </c>
      <c r="T171" s="32">
        <v>47848</v>
      </c>
      <c r="U171" s="31">
        <v>0.8</v>
      </c>
      <c r="V171" s="31"/>
      <c r="W171" s="36">
        <f t="shared" si="44"/>
        <v>0.8</v>
      </c>
      <c r="X171" s="31"/>
      <c r="Y171" s="31"/>
      <c r="Z171" s="31"/>
      <c r="AA171" s="52">
        <v>0.19800000000000001</v>
      </c>
      <c r="AB171" s="31">
        <v>0.19999999999999996</v>
      </c>
      <c r="AC171" s="50">
        <f t="shared" si="53"/>
        <v>120000</v>
      </c>
      <c r="AD171" s="32"/>
      <c r="AE171" s="20">
        <f t="shared" si="45"/>
        <v>0</v>
      </c>
      <c r="AF171" s="52">
        <f t="shared" si="46"/>
        <v>0</v>
      </c>
      <c r="AG171" s="54">
        <f t="shared" si="47"/>
        <v>42</v>
      </c>
      <c r="AH171" s="20">
        <v>350</v>
      </c>
      <c r="AI171" s="20">
        <v>180.45112781954887</v>
      </c>
      <c r="AJ171" s="20">
        <v>665</v>
      </c>
      <c r="AK171" s="20">
        <v>700</v>
      </c>
      <c r="AL171" s="54">
        <f t="shared" si="48"/>
        <v>84</v>
      </c>
      <c r="AM171" s="54">
        <f t="shared" si="49"/>
        <v>67.2</v>
      </c>
      <c r="AN171" s="33">
        <v>126315.78947368421</v>
      </c>
      <c r="AO171" s="56">
        <f t="shared" si="50"/>
        <v>63157.894736842107</v>
      </c>
      <c r="AP171" s="58">
        <f t="shared" si="51"/>
        <v>1</v>
      </c>
      <c r="AQ171" s="59">
        <f t="shared" si="52"/>
        <v>2</v>
      </c>
    </row>
    <row r="172" spans="1:43">
      <c r="A172" s="22" t="s">
        <v>500</v>
      </c>
      <c r="B172" s="22" t="s">
        <v>698</v>
      </c>
      <c r="C172" s="24" t="s">
        <v>379</v>
      </c>
      <c r="D172" s="38">
        <v>1</v>
      </c>
      <c r="E172" s="39" t="s">
        <v>770</v>
      </c>
      <c r="F172" s="40"/>
      <c r="G172" s="41">
        <v>2381</v>
      </c>
      <c r="H172" s="40"/>
      <c r="I172" s="40"/>
      <c r="J172" s="42">
        <v>288</v>
      </c>
      <c r="K172" s="43" t="s">
        <v>156</v>
      </c>
      <c r="L172" s="43" t="s">
        <v>159</v>
      </c>
      <c r="M172" s="42" t="s">
        <v>596</v>
      </c>
      <c r="N172" s="43" t="s">
        <v>634</v>
      </c>
      <c r="O172" s="43" t="s">
        <v>790</v>
      </c>
      <c r="P172" s="44">
        <v>0</v>
      </c>
      <c r="Q172" s="45" t="s">
        <v>25</v>
      </c>
      <c r="R172" s="45" t="s">
        <v>26</v>
      </c>
      <c r="S172" s="42">
        <v>2032</v>
      </c>
      <c r="T172" s="46">
        <v>48579</v>
      </c>
      <c r="U172" s="47">
        <v>0.44</v>
      </c>
      <c r="V172" s="47">
        <v>0.32</v>
      </c>
      <c r="W172" s="48">
        <f t="shared" si="44"/>
        <v>0.76</v>
      </c>
      <c r="X172" s="47">
        <v>7.0000000000000007E-2</v>
      </c>
      <c r="Y172" s="47">
        <v>9.5000000000000001E-2</v>
      </c>
      <c r="Z172" s="47">
        <v>6.8000000000000005E-2</v>
      </c>
      <c r="AA172" s="53">
        <v>0.19800000000000001</v>
      </c>
      <c r="AB172" s="47">
        <v>0.24</v>
      </c>
      <c r="AC172" s="51">
        <f t="shared" si="53"/>
        <v>232500</v>
      </c>
      <c r="AD172" s="46"/>
      <c r="AE172" s="40">
        <f t="shared" si="45"/>
        <v>0</v>
      </c>
      <c r="AF172" s="53">
        <f t="shared" si="46"/>
        <v>0</v>
      </c>
      <c r="AG172" s="55">
        <f t="shared" si="47"/>
        <v>40.6875</v>
      </c>
      <c r="AH172" s="40">
        <v>175</v>
      </c>
      <c r="AI172" s="40">
        <v>180</v>
      </c>
      <c r="AJ172" s="40">
        <v>1291.6666666666667</v>
      </c>
      <c r="AK172" s="40">
        <v>700</v>
      </c>
      <c r="AL172" s="55">
        <f t="shared" si="48"/>
        <v>162.75</v>
      </c>
      <c r="AM172" s="55">
        <f t="shared" si="49"/>
        <v>71.61</v>
      </c>
      <c r="AN172" s="49">
        <v>126000</v>
      </c>
      <c r="AO172" s="57">
        <f t="shared" si="50"/>
        <v>31500</v>
      </c>
      <c r="AP172" s="60">
        <f t="shared" si="51"/>
        <v>0.67999999999999994</v>
      </c>
      <c r="AQ172" s="61">
        <f t="shared" si="52"/>
        <v>2.7199999999999998</v>
      </c>
    </row>
    <row r="173" spans="1:43">
      <c r="A173" s="22" t="s">
        <v>500</v>
      </c>
      <c r="B173" s="22" t="s">
        <v>699</v>
      </c>
      <c r="C173" s="24" t="s">
        <v>379</v>
      </c>
      <c r="D173" s="25">
        <v>1</v>
      </c>
      <c r="E173" s="26" t="s">
        <v>770</v>
      </c>
      <c r="F173" s="20"/>
      <c r="G173" s="27">
        <v>2381</v>
      </c>
      <c r="H173" s="20"/>
      <c r="I173" s="20"/>
      <c r="J173" s="28">
        <v>289</v>
      </c>
      <c r="K173" s="29" t="s">
        <v>156</v>
      </c>
      <c r="L173" s="29" t="s">
        <v>159</v>
      </c>
      <c r="M173" s="28" t="s">
        <v>596</v>
      </c>
      <c r="N173" s="29" t="s">
        <v>648</v>
      </c>
      <c r="O173" s="29" t="s">
        <v>790</v>
      </c>
      <c r="P173" s="37">
        <v>0</v>
      </c>
      <c r="Q173" s="30" t="s">
        <v>25</v>
      </c>
      <c r="R173" s="30" t="s">
        <v>26</v>
      </c>
      <c r="S173" s="28">
        <v>2034</v>
      </c>
      <c r="T173" s="32">
        <v>49309</v>
      </c>
      <c r="U173" s="31">
        <v>0.44</v>
      </c>
      <c r="V173" s="31">
        <v>0.32</v>
      </c>
      <c r="W173" s="36">
        <f t="shared" si="44"/>
        <v>0.76</v>
      </c>
      <c r="X173" s="31">
        <v>7.0000000000000007E-2</v>
      </c>
      <c r="Y173" s="31">
        <v>9.5000000000000001E-2</v>
      </c>
      <c r="Z173" s="31">
        <v>6.8000000000000005E-2</v>
      </c>
      <c r="AA173" s="52">
        <v>0.19800000000000001</v>
      </c>
      <c r="AB173" s="31">
        <v>0.24</v>
      </c>
      <c r="AC173" s="50">
        <f t="shared" si="53"/>
        <v>133120.74001947418</v>
      </c>
      <c r="AD173" s="32"/>
      <c r="AE173" s="20">
        <f t="shared" si="45"/>
        <v>0</v>
      </c>
      <c r="AF173" s="52">
        <f t="shared" si="46"/>
        <v>0</v>
      </c>
      <c r="AG173" s="54">
        <f t="shared" si="47"/>
        <v>23.296129503407986</v>
      </c>
      <c r="AH173" s="20">
        <v>175</v>
      </c>
      <c r="AI173" s="20">
        <v>180.1363193768257</v>
      </c>
      <c r="AJ173" s="20">
        <v>739</v>
      </c>
      <c r="AK173" s="20">
        <v>700</v>
      </c>
      <c r="AL173" s="54">
        <f t="shared" si="48"/>
        <v>93.184518013631944</v>
      </c>
      <c r="AM173" s="54">
        <f t="shared" si="49"/>
        <v>41.001187925998053</v>
      </c>
      <c r="AN173" s="33">
        <v>126000</v>
      </c>
      <c r="AO173" s="56">
        <f t="shared" si="50"/>
        <v>31523.855890944498</v>
      </c>
      <c r="AP173" s="58">
        <f t="shared" si="51"/>
        <v>0.67999999999999994</v>
      </c>
      <c r="AQ173" s="59">
        <f t="shared" si="52"/>
        <v>2.7199999999999998</v>
      </c>
    </row>
    <row r="174" spans="1:43">
      <c r="A174" s="22" t="s">
        <v>501</v>
      </c>
      <c r="B174" s="22" t="s">
        <v>700</v>
      </c>
      <c r="C174" s="24" t="s">
        <v>378</v>
      </c>
      <c r="D174" s="38">
        <v>1</v>
      </c>
      <c r="E174" s="39" t="s">
        <v>770</v>
      </c>
      <c r="F174" s="40"/>
      <c r="G174" s="41">
        <v>2381</v>
      </c>
      <c r="H174" s="40"/>
      <c r="I174" s="40"/>
      <c r="J174" s="42">
        <v>290</v>
      </c>
      <c r="K174" s="43" t="s">
        <v>156</v>
      </c>
      <c r="L174" s="43" t="s">
        <v>159</v>
      </c>
      <c r="M174" s="42" t="s">
        <v>596</v>
      </c>
      <c r="N174" s="43" t="s">
        <v>647</v>
      </c>
      <c r="O174" s="43" t="s">
        <v>790</v>
      </c>
      <c r="P174" s="44">
        <v>0</v>
      </c>
      <c r="Q174" s="45" t="s">
        <v>25</v>
      </c>
      <c r="R174" s="45" t="s">
        <v>789</v>
      </c>
      <c r="S174" s="42">
        <v>2026</v>
      </c>
      <c r="T174" s="46">
        <v>48213</v>
      </c>
      <c r="U174" s="47">
        <v>0.32800000000000001</v>
      </c>
      <c r="V174" s="47">
        <v>0.18</v>
      </c>
      <c r="W174" s="48">
        <f t="shared" si="44"/>
        <v>0.50800000000000001</v>
      </c>
      <c r="X174" s="47">
        <v>7.0000000000000007E-2</v>
      </c>
      <c r="Y174" s="47">
        <v>7.0000000000000007E-2</v>
      </c>
      <c r="Z174" s="47">
        <v>6.8000000000000005E-2</v>
      </c>
      <c r="AA174" s="53">
        <v>0.19800000000000001</v>
      </c>
      <c r="AB174" s="47">
        <v>0.49199999999999999</v>
      </c>
      <c r="AC174" s="51">
        <f t="shared" si="53"/>
        <v>75810</v>
      </c>
      <c r="AD174" s="46"/>
      <c r="AE174" s="40">
        <f t="shared" si="45"/>
        <v>0</v>
      </c>
      <c r="AF174" s="53">
        <f t="shared" si="46"/>
        <v>0</v>
      </c>
      <c r="AG174" s="55">
        <f t="shared" si="47"/>
        <v>13.26675</v>
      </c>
      <c r="AH174" s="40">
        <v>175</v>
      </c>
      <c r="AI174" s="40">
        <v>190</v>
      </c>
      <c r="AJ174" s="40">
        <v>399</v>
      </c>
      <c r="AK174" s="40">
        <v>750</v>
      </c>
      <c r="AL174" s="55">
        <f t="shared" si="48"/>
        <v>56.857500000000002</v>
      </c>
      <c r="AM174" s="55">
        <f t="shared" si="49"/>
        <v>18.649260000000002</v>
      </c>
      <c r="AN174" s="49">
        <v>142723.98496240602</v>
      </c>
      <c r="AO174" s="57">
        <f t="shared" si="50"/>
        <v>33250</v>
      </c>
      <c r="AP174" s="60">
        <f t="shared" si="51"/>
        <v>0.82000000000000006</v>
      </c>
      <c r="AQ174" s="61">
        <f t="shared" si="52"/>
        <v>3.5142857142857147</v>
      </c>
    </row>
    <row r="175" spans="1:43">
      <c r="A175" s="22" t="s">
        <v>501</v>
      </c>
      <c r="B175" s="22" t="s">
        <v>701</v>
      </c>
      <c r="C175" s="24" t="s">
        <v>378</v>
      </c>
      <c r="D175" s="25">
        <v>1</v>
      </c>
      <c r="E175" s="26" t="s">
        <v>770</v>
      </c>
      <c r="F175" s="20"/>
      <c r="G175" s="27">
        <v>2381</v>
      </c>
      <c r="H175" s="20"/>
      <c r="I175" s="20"/>
      <c r="J175" s="28">
        <v>291</v>
      </c>
      <c r="K175" s="29" t="s">
        <v>156</v>
      </c>
      <c r="L175" s="29" t="s">
        <v>159</v>
      </c>
      <c r="M175" s="28" t="s">
        <v>596</v>
      </c>
      <c r="N175" s="29" t="s">
        <v>646</v>
      </c>
      <c r="O175" s="29" t="s">
        <v>790</v>
      </c>
      <c r="P175" s="37">
        <v>0</v>
      </c>
      <c r="Q175" s="30" t="s">
        <v>25</v>
      </c>
      <c r="R175" s="30" t="s">
        <v>789</v>
      </c>
      <c r="S175" s="28">
        <v>2033</v>
      </c>
      <c r="T175" s="32">
        <v>48944</v>
      </c>
      <c r="U175" s="31">
        <v>0.32800000000000001</v>
      </c>
      <c r="V175" s="31">
        <v>0.18</v>
      </c>
      <c r="W175" s="36">
        <f t="shared" si="44"/>
        <v>0.50800000000000001</v>
      </c>
      <c r="X175" s="31">
        <v>7.0000000000000007E-2</v>
      </c>
      <c r="Y175" s="31">
        <v>7.0000000000000007E-2</v>
      </c>
      <c r="Z175" s="31">
        <v>6.8000000000000005E-2</v>
      </c>
      <c r="AA175" s="52">
        <v>0.19800000000000001</v>
      </c>
      <c r="AB175" s="31">
        <v>0.49199999999999999</v>
      </c>
      <c r="AC175" s="50">
        <f t="shared" si="53"/>
        <v>98136</v>
      </c>
      <c r="AD175" s="32"/>
      <c r="AE175" s="20">
        <f t="shared" si="45"/>
        <v>0</v>
      </c>
      <c r="AF175" s="52">
        <f t="shared" si="46"/>
        <v>0</v>
      </c>
      <c r="AG175" s="54">
        <f t="shared" si="47"/>
        <v>17.1738</v>
      </c>
      <c r="AH175" s="20">
        <v>175</v>
      </c>
      <c r="AI175" s="20">
        <v>185.1622641509434</v>
      </c>
      <c r="AJ175" s="20">
        <v>530</v>
      </c>
      <c r="AK175" s="20">
        <v>1300</v>
      </c>
      <c r="AL175" s="54">
        <f t="shared" si="48"/>
        <v>127.57680000000001</v>
      </c>
      <c r="AM175" s="54">
        <f t="shared" si="49"/>
        <v>41.845190400000007</v>
      </c>
      <c r="AN175" s="33">
        <v>203678.49056603774</v>
      </c>
      <c r="AO175" s="56">
        <f t="shared" si="50"/>
        <v>32403.396226415094</v>
      </c>
      <c r="AP175" s="58">
        <f t="shared" si="51"/>
        <v>0.82000000000000006</v>
      </c>
      <c r="AQ175" s="59">
        <f t="shared" si="52"/>
        <v>6.0914285714285725</v>
      </c>
    </row>
    <row r="176" spans="1:43">
      <c r="A176" s="22" t="s">
        <v>501</v>
      </c>
      <c r="B176" s="22" t="s">
        <v>702</v>
      </c>
      <c r="C176" s="24" t="s">
        <v>378</v>
      </c>
      <c r="D176" s="38">
        <v>1</v>
      </c>
      <c r="E176" s="39" t="s">
        <v>770</v>
      </c>
      <c r="F176" s="40"/>
      <c r="G176" s="41">
        <v>2381</v>
      </c>
      <c r="H176" s="40"/>
      <c r="I176" s="40"/>
      <c r="J176" s="42">
        <v>292</v>
      </c>
      <c r="K176" s="43" t="s">
        <v>156</v>
      </c>
      <c r="L176" s="43" t="s">
        <v>159</v>
      </c>
      <c r="M176" s="42" t="s">
        <v>596</v>
      </c>
      <c r="N176" s="43" t="s">
        <v>645</v>
      </c>
      <c r="O176" s="43" t="s">
        <v>790</v>
      </c>
      <c r="P176" s="44">
        <v>0</v>
      </c>
      <c r="Q176" s="45" t="s">
        <v>25</v>
      </c>
      <c r="R176" s="45" t="s">
        <v>26</v>
      </c>
      <c r="S176" s="42">
        <v>2035</v>
      </c>
      <c r="T176" s="46">
        <v>49674</v>
      </c>
      <c r="U176" s="47">
        <v>0.32800000000000001</v>
      </c>
      <c r="V176" s="47">
        <v>0.18</v>
      </c>
      <c r="W176" s="48">
        <f t="shared" si="44"/>
        <v>0.50800000000000001</v>
      </c>
      <c r="X176" s="47">
        <v>7.0000000000000007E-2</v>
      </c>
      <c r="Y176" s="47">
        <v>7.0000000000000007E-2</v>
      </c>
      <c r="Z176" s="47">
        <v>6.8000000000000005E-2</v>
      </c>
      <c r="AA176" s="53">
        <v>0.19800000000000001</v>
      </c>
      <c r="AB176" s="47">
        <v>0.49199999999999999</v>
      </c>
      <c r="AC176" s="51">
        <f t="shared" si="53"/>
        <v>75000</v>
      </c>
      <c r="AD176" s="46"/>
      <c r="AE176" s="40">
        <f t="shared" si="45"/>
        <v>0</v>
      </c>
      <c r="AF176" s="53">
        <f t="shared" si="46"/>
        <v>0</v>
      </c>
      <c r="AG176" s="55">
        <f t="shared" si="47"/>
        <v>13.125</v>
      </c>
      <c r="AH176" s="40">
        <v>175</v>
      </c>
      <c r="AI176" s="40">
        <v>200</v>
      </c>
      <c r="AJ176" s="40">
        <v>375</v>
      </c>
      <c r="AK176" s="40">
        <v>750</v>
      </c>
      <c r="AL176" s="55">
        <f t="shared" si="48"/>
        <v>56.25</v>
      </c>
      <c r="AM176" s="55">
        <f t="shared" si="49"/>
        <v>18.45</v>
      </c>
      <c r="AN176" s="49">
        <v>150000</v>
      </c>
      <c r="AO176" s="57">
        <f t="shared" si="50"/>
        <v>35000</v>
      </c>
      <c r="AP176" s="60">
        <f t="shared" si="51"/>
        <v>0.82000000000000006</v>
      </c>
      <c r="AQ176" s="61">
        <f t="shared" si="52"/>
        <v>3.5142857142857142</v>
      </c>
    </row>
    <row r="177" spans="1:43">
      <c r="A177" s="22" t="s">
        <v>546</v>
      </c>
      <c r="B177" s="22" t="s">
        <v>703</v>
      </c>
      <c r="C177" s="24" t="s">
        <v>377</v>
      </c>
      <c r="D177" s="25">
        <v>1</v>
      </c>
      <c r="E177" s="26" t="s">
        <v>770</v>
      </c>
      <c r="F177" s="20"/>
      <c r="G177" s="27">
        <v>2394</v>
      </c>
      <c r="H177" s="20"/>
      <c r="I177" s="20"/>
      <c r="J177" s="28">
        <v>293</v>
      </c>
      <c r="K177" s="29" t="s">
        <v>156</v>
      </c>
      <c r="L177" s="29" t="s">
        <v>160</v>
      </c>
      <c r="M177" s="28" t="s">
        <v>596</v>
      </c>
      <c r="N177" s="29" t="s">
        <v>632</v>
      </c>
      <c r="O177" s="29" t="s">
        <v>790</v>
      </c>
      <c r="P177" s="37">
        <v>0</v>
      </c>
      <c r="Q177" s="30" t="s">
        <v>25</v>
      </c>
      <c r="R177" s="30" t="s">
        <v>789</v>
      </c>
      <c r="S177" s="28">
        <v>2026</v>
      </c>
      <c r="T177" s="32">
        <v>46295</v>
      </c>
      <c r="U177" s="31">
        <v>0.54400000000000004</v>
      </c>
      <c r="V177" s="31">
        <v>0.31999999999999995</v>
      </c>
      <c r="W177" s="36">
        <f t="shared" si="44"/>
        <v>0.86399999999999999</v>
      </c>
      <c r="X177" s="31">
        <v>7.0000000000000007E-2</v>
      </c>
      <c r="Y177" s="31">
        <v>9.5000000000000001E-2</v>
      </c>
      <c r="Z177" s="31">
        <v>6.8000000000000005E-2</v>
      </c>
      <c r="AA177" s="52">
        <v>0.19800000000000001</v>
      </c>
      <c r="AB177" s="31">
        <v>0.13600000000000001</v>
      </c>
      <c r="AC177" s="50">
        <f t="shared" si="53"/>
        <v>106260</v>
      </c>
      <c r="AD177" s="32"/>
      <c r="AE177" s="20">
        <f t="shared" si="45"/>
        <v>0</v>
      </c>
      <c r="AF177" s="52">
        <f t="shared" si="46"/>
        <v>0</v>
      </c>
      <c r="AG177" s="54">
        <f t="shared" si="47"/>
        <v>18.595500000000001</v>
      </c>
      <c r="AH177" s="20">
        <v>175</v>
      </c>
      <c r="AI177" s="20">
        <v>322</v>
      </c>
      <c r="AJ177" s="20">
        <v>330</v>
      </c>
      <c r="AK177" s="20">
        <v>650</v>
      </c>
      <c r="AL177" s="54">
        <f t="shared" si="48"/>
        <v>69.069000000000003</v>
      </c>
      <c r="AM177" s="54">
        <f t="shared" si="49"/>
        <v>37.573536000000004</v>
      </c>
      <c r="AN177" s="33">
        <v>225947.38</v>
      </c>
      <c r="AO177" s="56">
        <f t="shared" si="50"/>
        <v>56350</v>
      </c>
      <c r="AP177" s="58">
        <f t="shared" si="51"/>
        <v>0.68</v>
      </c>
      <c r="AQ177" s="59">
        <f t="shared" si="52"/>
        <v>2.5257142857142858</v>
      </c>
    </row>
    <row r="178" spans="1:43">
      <c r="A178" s="22" t="s">
        <v>545</v>
      </c>
      <c r="B178" s="22" t="s">
        <v>703</v>
      </c>
      <c r="C178" s="24" t="s">
        <v>377</v>
      </c>
      <c r="D178" s="38">
        <v>1</v>
      </c>
      <c r="E178" s="39" t="s">
        <v>770</v>
      </c>
      <c r="F178" s="40"/>
      <c r="G178" s="41">
        <v>2394</v>
      </c>
      <c r="H178" s="40"/>
      <c r="I178" s="40"/>
      <c r="J178" s="42">
        <v>294</v>
      </c>
      <c r="K178" s="43" t="s">
        <v>156</v>
      </c>
      <c r="L178" s="43" t="s">
        <v>160</v>
      </c>
      <c r="M178" s="42" t="s">
        <v>596</v>
      </c>
      <c r="N178" s="43" t="s">
        <v>632</v>
      </c>
      <c r="O178" s="43" t="s">
        <v>790</v>
      </c>
      <c r="P178" s="44">
        <v>0</v>
      </c>
      <c r="Q178" s="45" t="s">
        <v>25</v>
      </c>
      <c r="R178" s="45" t="s">
        <v>789</v>
      </c>
      <c r="S178" s="42">
        <v>2027</v>
      </c>
      <c r="T178" s="46">
        <v>46751</v>
      </c>
      <c r="U178" s="47">
        <v>0.54400000000000004</v>
      </c>
      <c r="V178" s="47">
        <v>0.31999999999999995</v>
      </c>
      <c r="W178" s="48">
        <f t="shared" si="44"/>
        <v>0.86399999999999999</v>
      </c>
      <c r="X178" s="47">
        <v>7.0000000000000007E-2</v>
      </c>
      <c r="Y178" s="47">
        <v>9.5000000000000001E-2</v>
      </c>
      <c r="Z178" s="47">
        <v>6.8000000000000005E-2</v>
      </c>
      <c r="AA178" s="53">
        <v>0.19800000000000001</v>
      </c>
      <c r="AB178" s="47">
        <v>0.13600000000000001</v>
      </c>
      <c r="AC178" s="51">
        <f t="shared" si="53"/>
        <v>191004.48</v>
      </c>
      <c r="AD178" s="46"/>
      <c r="AE178" s="40">
        <f t="shared" si="45"/>
        <v>0</v>
      </c>
      <c r="AF178" s="53">
        <f t="shared" si="46"/>
        <v>0</v>
      </c>
      <c r="AG178" s="55">
        <f t="shared" si="47"/>
        <v>33.425784</v>
      </c>
      <c r="AH178" s="40">
        <v>175</v>
      </c>
      <c r="AI178" s="40">
        <v>314.15210526315792</v>
      </c>
      <c r="AJ178" s="40">
        <v>608</v>
      </c>
      <c r="AK178" s="40">
        <v>700</v>
      </c>
      <c r="AL178" s="55">
        <f t="shared" si="48"/>
        <v>133.70313600000003</v>
      </c>
      <c r="AM178" s="55">
        <f t="shared" si="49"/>
        <v>72.734505984000023</v>
      </c>
      <c r="AN178" s="49">
        <v>219906.47</v>
      </c>
      <c r="AO178" s="57">
        <f t="shared" si="50"/>
        <v>54976.618421052633</v>
      </c>
      <c r="AP178" s="60">
        <f t="shared" si="51"/>
        <v>0.68</v>
      </c>
      <c r="AQ178" s="61">
        <f t="shared" si="52"/>
        <v>2.7200000000000006</v>
      </c>
    </row>
    <row r="179" spans="1:43">
      <c r="A179" s="22" t="s">
        <v>502</v>
      </c>
      <c r="B179" s="22" t="s">
        <v>704</v>
      </c>
      <c r="C179" s="24" t="s">
        <v>376</v>
      </c>
      <c r="D179" s="25">
        <v>1</v>
      </c>
      <c r="E179" s="26" t="s">
        <v>770</v>
      </c>
      <c r="F179" s="20"/>
      <c r="G179" s="27">
        <v>2387</v>
      </c>
      <c r="H179" s="20"/>
      <c r="I179" s="20"/>
      <c r="J179" s="28">
        <v>295</v>
      </c>
      <c r="K179" s="29" t="s">
        <v>156</v>
      </c>
      <c r="L179" s="29" t="s">
        <v>161</v>
      </c>
      <c r="M179" s="28" t="s">
        <v>596</v>
      </c>
      <c r="N179" s="29" t="s">
        <v>644</v>
      </c>
      <c r="O179" s="29" t="s">
        <v>787</v>
      </c>
      <c r="P179" s="37">
        <v>4430625</v>
      </c>
      <c r="Q179" s="30" t="s">
        <v>25</v>
      </c>
      <c r="R179" s="30" t="s">
        <v>789</v>
      </c>
      <c r="S179" s="28">
        <v>2026</v>
      </c>
      <c r="T179" s="32">
        <v>46203</v>
      </c>
      <c r="U179" s="31">
        <v>0.55600000000000005</v>
      </c>
      <c r="V179" s="31">
        <v>0.30499999999999994</v>
      </c>
      <c r="W179" s="36">
        <f t="shared" si="44"/>
        <v>0.86099999999999999</v>
      </c>
      <c r="X179" s="31">
        <v>7.0000000000000007E-2</v>
      </c>
      <c r="Y179" s="31">
        <v>0</v>
      </c>
      <c r="Z179" s="31">
        <v>6.8000000000000005E-2</v>
      </c>
      <c r="AA179" s="52">
        <v>0.19800000000000001</v>
      </c>
      <c r="AB179" s="31">
        <v>0.13900000000000001</v>
      </c>
      <c r="AC179" s="50">
        <f t="shared" si="53"/>
        <v>126125.46100000001</v>
      </c>
      <c r="AD179" s="32"/>
      <c r="AE179" s="20">
        <f t="shared" si="45"/>
        <v>4.430625</v>
      </c>
      <c r="AF179" s="52">
        <f t="shared" si="46"/>
        <v>4.3910890046221514E-2</v>
      </c>
      <c r="AG179" s="54">
        <f t="shared" si="47"/>
        <v>22.071955675000002</v>
      </c>
      <c r="AH179" s="20">
        <v>175</v>
      </c>
      <c r="AI179" s="20">
        <v>257.39890000000003</v>
      </c>
      <c r="AJ179" s="20">
        <v>490</v>
      </c>
      <c r="AK179" s="20">
        <v>800</v>
      </c>
      <c r="AL179" s="54">
        <f t="shared" si="48"/>
        <v>100.90036880000001</v>
      </c>
      <c r="AM179" s="54">
        <f t="shared" si="49"/>
        <v>56.100605052800013</v>
      </c>
      <c r="AN179" s="33">
        <v>213697.8</v>
      </c>
      <c r="AO179" s="56">
        <f t="shared" si="50"/>
        <v>45044.807500000003</v>
      </c>
      <c r="AP179" s="58">
        <f t="shared" si="51"/>
        <v>0.69500000000000006</v>
      </c>
      <c r="AQ179" s="59">
        <f t="shared" si="52"/>
        <v>2.6459972776217198</v>
      </c>
    </row>
    <row r="180" spans="1:43">
      <c r="A180" s="22" t="s">
        <v>503</v>
      </c>
      <c r="B180" s="22" t="s">
        <v>705</v>
      </c>
      <c r="C180" s="24" t="s">
        <v>376</v>
      </c>
      <c r="D180" s="38">
        <v>1</v>
      </c>
      <c r="E180" s="39" t="s">
        <v>770</v>
      </c>
      <c r="F180" s="40"/>
      <c r="G180" s="41">
        <v>2387</v>
      </c>
      <c r="H180" s="40"/>
      <c r="I180" s="40"/>
      <c r="J180" s="42">
        <v>296</v>
      </c>
      <c r="K180" s="43" t="s">
        <v>156</v>
      </c>
      <c r="L180" s="43" t="s">
        <v>161</v>
      </c>
      <c r="M180" s="42" t="s">
        <v>596</v>
      </c>
      <c r="N180" s="43" t="s">
        <v>643</v>
      </c>
      <c r="O180" s="43" t="s">
        <v>787</v>
      </c>
      <c r="P180" s="44">
        <v>4430625</v>
      </c>
      <c r="Q180" s="45" t="s">
        <v>25</v>
      </c>
      <c r="R180" s="45" t="s">
        <v>26</v>
      </c>
      <c r="S180" s="42">
        <v>2028</v>
      </c>
      <c r="T180" s="46">
        <v>46934</v>
      </c>
      <c r="U180" s="47">
        <v>0.55600000000000005</v>
      </c>
      <c r="V180" s="47">
        <v>0.30499999999999994</v>
      </c>
      <c r="W180" s="48">
        <f t="shared" ref="W180:W211" si="54">SUM(U180:V180)</f>
        <v>0.86099999999999999</v>
      </c>
      <c r="X180" s="47">
        <v>7.0000000000000007E-2</v>
      </c>
      <c r="Y180" s="47">
        <v>0</v>
      </c>
      <c r="Z180" s="47">
        <v>6.8000000000000005E-2</v>
      </c>
      <c r="AA180" s="53">
        <v>0.19800000000000001</v>
      </c>
      <c r="AB180" s="47">
        <v>0.13900000000000001</v>
      </c>
      <c r="AC180" s="51">
        <f t="shared" si="53"/>
        <v>51429.97</v>
      </c>
      <c r="AD180" s="46"/>
      <c r="AE180" s="40">
        <f t="shared" ref="AE180:AE211" si="55">P180/10^6</f>
        <v>4.430625</v>
      </c>
      <c r="AF180" s="53">
        <f t="shared" ref="AF180:AF211" si="56">IF(AL180=0,0,AE180/AL180)</f>
        <v>0.10768587362582556</v>
      </c>
      <c r="AG180" s="55">
        <f t="shared" ref="AG180:AG211" si="57">(AH180*AI180*AJ180)/10^6</f>
        <v>9.0002447500000002</v>
      </c>
      <c r="AH180" s="40">
        <v>175</v>
      </c>
      <c r="AI180" s="40">
        <v>257.14985000000001</v>
      </c>
      <c r="AJ180" s="40">
        <v>200</v>
      </c>
      <c r="AK180" s="40">
        <v>800</v>
      </c>
      <c r="AL180" s="55">
        <f t="shared" ref="AL180:AL211" si="58">(AK180*AJ180*AI180)/10^6</f>
        <v>41.143976000000002</v>
      </c>
      <c r="AM180" s="55">
        <f t="shared" ref="AM180:AM211" si="59">AL180*U180</f>
        <v>22.876050656000004</v>
      </c>
      <c r="AN180" s="49">
        <v>205719.88</v>
      </c>
      <c r="AO180" s="57">
        <f t="shared" ref="AO180:AO211" si="60">AH180*AI180</f>
        <v>45001.223750000005</v>
      </c>
      <c r="AP180" s="60">
        <f t="shared" ref="AP180:AP211" si="61">U180+AB180</f>
        <v>0.69500000000000006</v>
      </c>
      <c r="AQ180" s="61">
        <f t="shared" ref="AQ180:AQ211" si="62">AL180*AP180/(AG180+AE180)</f>
        <v>2.1290552177382263</v>
      </c>
    </row>
    <row r="181" spans="1:43">
      <c r="A181" s="22" t="s">
        <v>504</v>
      </c>
      <c r="B181" s="22" t="s">
        <v>706</v>
      </c>
      <c r="C181" s="24" t="s">
        <v>376</v>
      </c>
      <c r="D181" s="25">
        <v>1</v>
      </c>
      <c r="E181" s="26" t="s">
        <v>770</v>
      </c>
      <c r="F181" s="20"/>
      <c r="G181" s="27">
        <v>2387</v>
      </c>
      <c r="H181" s="20"/>
      <c r="I181" s="20"/>
      <c r="J181" s="28">
        <v>297</v>
      </c>
      <c r="K181" s="29" t="s">
        <v>156</v>
      </c>
      <c r="L181" s="29" t="s">
        <v>161</v>
      </c>
      <c r="M181" s="28" t="s">
        <v>596</v>
      </c>
      <c r="N181" s="29" t="s">
        <v>642</v>
      </c>
      <c r="O181" s="29" t="s">
        <v>787</v>
      </c>
      <c r="P181" s="37">
        <v>4430625</v>
      </c>
      <c r="Q181" s="30" t="s">
        <v>78</v>
      </c>
      <c r="R181" s="30" t="s">
        <v>789</v>
      </c>
      <c r="S181" s="28">
        <v>2026</v>
      </c>
      <c r="T181" s="32">
        <v>46203</v>
      </c>
      <c r="U181" s="31">
        <v>0.55600000000000005</v>
      </c>
      <c r="V181" s="31">
        <v>0.30499999999999994</v>
      </c>
      <c r="W181" s="36">
        <f t="shared" si="54"/>
        <v>0.86099999999999999</v>
      </c>
      <c r="X181" s="31">
        <v>7.0000000000000007E-2</v>
      </c>
      <c r="Y181" s="31">
        <v>0</v>
      </c>
      <c r="Z181" s="31">
        <v>6.8000000000000005E-2</v>
      </c>
      <c r="AA181" s="52">
        <v>0.19800000000000001</v>
      </c>
      <c r="AB181" s="31">
        <v>0.13900000000000001</v>
      </c>
      <c r="AC181" s="50">
        <f t="shared" si="53"/>
        <v>101592</v>
      </c>
      <c r="AD181" s="32"/>
      <c r="AE181" s="20">
        <f t="shared" si="55"/>
        <v>4.430625</v>
      </c>
      <c r="AF181" s="52">
        <f t="shared" si="56"/>
        <v>2.907463186077644E-2</v>
      </c>
      <c r="AG181" s="54">
        <f t="shared" si="57"/>
        <v>35.557200000000002</v>
      </c>
      <c r="AH181" s="20">
        <v>350</v>
      </c>
      <c r="AI181" s="20">
        <v>332</v>
      </c>
      <c r="AJ181" s="20">
        <v>306</v>
      </c>
      <c r="AK181" s="20">
        <v>1500</v>
      </c>
      <c r="AL181" s="54">
        <f t="shared" si="58"/>
        <v>152.38800000000001</v>
      </c>
      <c r="AM181" s="54">
        <f t="shared" si="59"/>
        <v>84.727728000000013</v>
      </c>
      <c r="AN181" s="33">
        <v>498287.99</v>
      </c>
      <c r="AO181" s="56">
        <f t="shared" si="60"/>
        <v>116200</v>
      </c>
      <c r="AP181" s="58">
        <f t="shared" si="61"/>
        <v>0.69500000000000006</v>
      </c>
      <c r="AQ181" s="59">
        <f t="shared" si="62"/>
        <v>2.6485476516914841</v>
      </c>
    </row>
    <row r="182" spans="1:43">
      <c r="A182" s="22" t="s">
        <v>505</v>
      </c>
      <c r="B182" s="22" t="s">
        <v>707</v>
      </c>
      <c r="C182" s="24" t="s">
        <v>376</v>
      </c>
      <c r="D182" s="38">
        <v>1</v>
      </c>
      <c r="E182" s="39" t="s">
        <v>770</v>
      </c>
      <c r="F182" s="40"/>
      <c r="G182" s="41">
        <v>2387</v>
      </c>
      <c r="H182" s="40"/>
      <c r="I182" s="40"/>
      <c r="J182" s="42">
        <v>298</v>
      </c>
      <c r="K182" s="43" t="s">
        <v>156</v>
      </c>
      <c r="L182" s="43" t="s">
        <v>161</v>
      </c>
      <c r="M182" s="42" t="s">
        <v>596</v>
      </c>
      <c r="N182" s="43" t="s">
        <v>641</v>
      </c>
      <c r="O182" s="43" t="s">
        <v>787</v>
      </c>
      <c r="P182" s="44">
        <v>4430625</v>
      </c>
      <c r="Q182" s="45" t="s">
        <v>78</v>
      </c>
      <c r="R182" s="45" t="s">
        <v>26</v>
      </c>
      <c r="S182" s="42">
        <v>2028</v>
      </c>
      <c r="T182" s="46">
        <v>46934</v>
      </c>
      <c r="U182" s="47">
        <v>0.55600000000000005</v>
      </c>
      <c r="V182" s="47">
        <v>0.30499999999999994</v>
      </c>
      <c r="W182" s="48">
        <f t="shared" si="54"/>
        <v>0.86099999999999999</v>
      </c>
      <c r="X182" s="47">
        <v>7.0000000000000007E-2</v>
      </c>
      <c r="Y182" s="47">
        <v>0</v>
      </c>
      <c r="Z182" s="47">
        <v>6.8000000000000005E-2</v>
      </c>
      <c r="AA182" s="53">
        <v>0.19800000000000001</v>
      </c>
      <c r="AB182" s="47">
        <v>0.13900000000000001</v>
      </c>
      <c r="AC182" s="51">
        <f t="shared" si="53"/>
        <v>107550.00000000001</v>
      </c>
      <c r="AD182" s="46"/>
      <c r="AE182" s="40">
        <f t="shared" si="55"/>
        <v>4.430625</v>
      </c>
      <c r="AF182" s="53">
        <f t="shared" si="56"/>
        <v>2.7463970246397029E-2</v>
      </c>
      <c r="AG182" s="55">
        <f t="shared" si="57"/>
        <v>37.642499999999998</v>
      </c>
      <c r="AH182" s="40">
        <v>350</v>
      </c>
      <c r="AI182" s="40">
        <v>325.90909090909093</v>
      </c>
      <c r="AJ182" s="40">
        <v>330</v>
      </c>
      <c r="AK182" s="40">
        <v>1500</v>
      </c>
      <c r="AL182" s="55">
        <f t="shared" si="58"/>
        <v>161.32499999999999</v>
      </c>
      <c r="AM182" s="55">
        <f t="shared" si="59"/>
        <v>89.696700000000007</v>
      </c>
      <c r="AN182" s="49">
        <v>488863.63636363641</v>
      </c>
      <c r="AO182" s="57">
        <f t="shared" si="60"/>
        <v>114068.18181818182</v>
      </c>
      <c r="AP182" s="60">
        <f t="shared" si="61"/>
        <v>0.69500000000000006</v>
      </c>
      <c r="AQ182" s="61">
        <f t="shared" si="62"/>
        <v>2.6649048531574491</v>
      </c>
    </row>
    <row r="183" spans="1:43">
      <c r="A183" s="22" t="s">
        <v>506</v>
      </c>
      <c r="B183" s="22" t="s">
        <v>708</v>
      </c>
      <c r="C183" s="24" t="s">
        <v>371</v>
      </c>
      <c r="D183" s="25">
        <v>1</v>
      </c>
      <c r="E183" s="26" t="s">
        <v>770</v>
      </c>
      <c r="F183" s="20"/>
      <c r="G183" s="27">
        <v>2375</v>
      </c>
      <c r="H183" s="20"/>
      <c r="I183" s="20"/>
      <c r="J183" s="28">
        <v>299</v>
      </c>
      <c r="K183" s="29" t="s">
        <v>156</v>
      </c>
      <c r="L183" s="29" t="s">
        <v>162</v>
      </c>
      <c r="M183" s="28" t="s">
        <v>596</v>
      </c>
      <c r="N183" s="29" t="s">
        <v>640</v>
      </c>
      <c r="O183" s="29" t="s">
        <v>790</v>
      </c>
      <c r="P183" s="37">
        <v>0</v>
      </c>
      <c r="Q183" s="30" t="s">
        <v>25</v>
      </c>
      <c r="R183" s="30" t="s">
        <v>789</v>
      </c>
      <c r="S183" s="28">
        <v>2027</v>
      </c>
      <c r="T183" s="32">
        <v>46568</v>
      </c>
      <c r="U183" s="31">
        <v>0.4</v>
      </c>
      <c r="V183" s="31"/>
      <c r="W183" s="36">
        <f t="shared" si="54"/>
        <v>0.4</v>
      </c>
      <c r="X183" s="31">
        <v>7.0000000000000007E-2</v>
      </c>
      <c r="Y183" s="31">
        <v>9.5000000000000001E-2</v>
      </c>
      <c r="Z183" s="31">
        <v>6.8000000000000005E-2</v>
      </c>
      <c r="AA183" s="52">
        <v>0.19800000000000001</v>
      </c>
      <c r="AB183" s="31">
        <v>0.6</v>
      </c>
      <c r="AC183" s="50">
        <f t="shared" si="53"/>
        <v>233707.6</v>
      </c>
      <c r="AD183" s="32"/>
      <c r="AE183" s="20">
        <f t="shared" si="55"/>
        <v>0</v>
      </c>
      <c r="AF183" s="52">
        <f t="shared" si="56"/>
        <v>0</v>
      </c>
      <c r="AG183" s="54">
        <f t="shared" si="57"/>
        <v>40.898829999999997</v>
      </c>
      <c r="AH183" s="20">
        <v>175</v>
      </c>
      <c r="AI183" s="20">
        <v>307.51</v>
      </c>
      <c r="AJ183" s="20">
        <v>760</v>
      </c>
      <c r="AK183" s="20">
        <v>750</v>
      </c>
      <c r="AL183" s="54">
        <f t="shared" si="58"/>
        <v>175.2807</v>
      </c>
      <c r="AM183" s="54">
        <f t="shared" si="59"/>
        <v>70.112279999999998</v>
      </c>
      <c r="AN183" s="33">
        <v>251146.77607361967</v>
      </c>
      <c r="AO183" s="56">
        <f t="shared" si="60"/>
        <v>53814.25</v>
      </c>
      <c r="AP183" s="58">
        <f t="shared" si="61"/>
        <v>1</v>
      </c>
      <c r="AQ183" s="59">
        <f t="shared" si="62"/>
        <v>4.2857142857142856</v>
      </c>
    </row>
    <row r="184" spans="1:43">
      <c r="A184" s="22" t="s">
        <v>507</v>
      </c>
      <c r="B184" s="22" t="s">
        <v>709</v>
      </c>
      <c r="C184" s="24" t="s">
        <v>374</v>
      </c>
      <c r="D184" s="38">
        <v>1</v>
      </c>
      <c r="E184" s="39" t="s">
        <v>770</v>
      </c>
      <c r="F184" s="40"/>
      <c r="G184" s="41">
        <v>2374</v>
      </c>
      <c r="H184" s="40"/>
      <c r="I184" s="40"/>
      <c r="J184" s="42">
        <v>300</v>
      </c>
      <c r="K184" s="43" t="s">
        <v>156</v>
      </c>
      <c r="L184" s="43" t="s">
        <v>162</v>
      </c>
      <c r="M184" s="42" t="s">
        <v>596</v>
      </c>
      <c r="N184" s="43" t="s">
        <v>639</v>
      </c>
      <c r="O184" s="43" t="s">
        <v>790</v>
      </c>
      <c r="P184" s="44">
        <v>0</v>
      </c>
      <c r="Q184" s="45" t="s">
        <v>25</v>
      </c>
      <c r="R184" s="45" t="s">
        <v>789</v>
      </c>
      <c r="S184" s="42">
        <v>2026</v>
      </c>
      <c r="T184" s="46">
        <v>46203</v>
      </c>
      <c r="U184" s="47">
        <v>0.4</v>
      </c>
      <c r="V184" s="47">
        <v>0.5</v>
      </c>
      <c r="W184" s="48">
        <f t="shared" si="54"/>
        <v>0.9</v>
      </c>
      <c r="X184" s="47">
        <v>7.0000000000000007E-2</v>
      </c>
      <c r="Y184" s="47">
        <v>9.5000000000000001E-2</v>
      </c>
      <c r="Z184" s="47">
        <v>6.8000000000000005E-2</v>
      </c>
      <c r="AA184" s="53">
        <v>0.19800000000000001</v>
      </c>
      <c r="AB184" s="47">
        <v>9.9999999999999978E-2</v>
      </c>
      <c r="AC184" s="51">
        <f t="shared" si="53"/>
        <v>264827.8</v>
      </c>
      <c r="AD184" s="46"/>
      <c r="AE184" s="40">
        <f t="shared" si="55"/>
        <v>0</v>
      </c>
      <c r="AF184" s="53">
        <f t="shared" si="56"/>
        <v>0</v>
      </c>
      <c r="AG184" s="55">
        <f t="shared" si="57"/>
        <v>46.344864999999999</v>
      </c>
      <c r="AH184" s="40">
        <v>175</v>
      </c>
      <c r="AI184" s="40">
        <v>432.72516339869281</v>
      </c>
      <c r="AJ184" s="40">
        <v>612</v>
      </c>
      <c r="AK184" s="40">
        <v>850</v>
      </c>
      <c r="AL184" s="55">
        <f t="shared" si="58"/>
        <v>225.10363000000001</v>
      </c>
      <c r="AM184" s="55">
        <f t="shared" si="59"/>
        <v>90.041452000000007</v>
      </c>
      <c r="AN184" s="49">
        <v>367816.39</v>
      </c>
      <c r="AO184" s="57">
        <f t="shared" si="60"/>
        <v>75726.90359477124</v>
      </c>
      <c r="AP184" s="60">
        <f t="shared" si="61"/>
        <v>0.5</v>
      </c>
      <c r="AQ184" s="61">
        <f t="shared" si="62"/>
        <v>2.4285714285714288</v>
      </c>
    </row>
    <row r="185" spans="1:43">
      <c r="A185" s="22" t="s">
        <v>508</v>
      </c>
      <c r="B185" s="22" t="s">
        <v>710</v>
      </c>
      <c r="C185" s="24" t="s">
        <v>370</v>
      </c>
      <c r="D185" s="25">
        <v>1</v>
      </c>
      <c r="E185" s="26" t="s">
        <v>770</v>
      </c>
      <c r="F185" s="20"/>
      <c r="G185" s="27">
        <v>2374</v>
      </c>
      <c r="H185" s="20"/>
      <c r="I185" s="20"/>
      <c r="J185" s="28">
        <v>301</v>
      </c>
      <c r="K185" s="29" t="s">
        <v>156</v>
      </c>
      <c r="L185" s="29" t="s">
        <v>162</v>
      </c>
      <c r="M185" s="28" t="s">
        <v>596</v>
      </c>
      <c r="N185" s="29" t="s">
        <v>638</v>
      </c>
      <c r="O185" s="29" t="s">
        <v>790</v>
      </c>
      <c r="P185" s="37">
        <v>0</v>
      </c>
      <c r="Q185" s="30" t="s">
        <v>25</v>
      </c>
      <c r="R185" s="30" t="s">
        <v>789</v>
      </c>
      <c r="S185" s="28">
        <v>2026</v>
      </c>
      <c r="T185" s="32">
        <v>46387</v>
      </c>
      <c r="U185" s="31">
        <v>0.4</v>
      </c>
      <c r="V185" s="31">
        <v>0.5</v>
      </c>
      <c r="W185" s="36">
        <f t="shared" si="54"/>
        <v>0.9</v>
      </c>
      <c r="X185" s="31">
        <v>7.0000000000000007E-2</v>
      </c>
      <c r="Y185" s="31">
        <v>9.5000000000000001E-2</v>
      </c>
      <c r="Z185" s="31">
        <v>6.8000000000000005E-2</v>
      </c>
      <c r="AA185" s="52">
        <v>0.19800000000000001</v>
      </c>
      <c r="AB185" s="31">
        <v>9.9999999999999978E-2</v>
      </c>
      <c r="AC185" s="50">
        <f t="shared" si="53"/>
        <v>159307.14000000001</v>
      </c>
      <c r="AD185" s="32"/>
      <c r="AE185" s="20">
        <f t="shared" si="55"/>
        <v>0</v>
      </c>
      <c r="AF185" s="52">
        <f t="shared" si="56"/>
        <v>0</v>
      </c>
      <c r="AG185" s="54">
        <f t="shared" si="57"/>
        <v>27.878749500000009</v>
      </c>
      <c r="AH185" s="20">
        <v>175</v>
      </c>
      <c r="AI185" s="20">
        <v>375.72438679245289</v>
      </c>
      <c r="AJ185" s="20">
        <v>424</v>
      </c>
      <c r="AK185" s="20">
        <v>800</v>
      </c>
      <c r="AL185" s="54">
        <f t="shared" si="58"/>
        <v>127.44571200000001</v>
      </c>
      <c r="AM185" s="54">
        <f t="shared" si="59"/>
        <v>50.978284800000012</v>
      </c>
      <c r="AN185" s="33">
        <v>300579.51</v>
      </c>
      <c r="AO185" s="56">
        <f t="shared" si="60"/>
        <v>65751.767688679261</v>
      </c>
      <c r="AP185" s="58">
        <f t="shared" si="61"/>
        <v>0.5</v>
      </c>
      <c r="AQ185" s="59">
        <f t="shared" si="62"/>
        <v>2.2857142857142851</v>
      </c>
    </row>
    <row r="186" spans="1:43">
      <c r="A186" s="22" t="s">
        <v>509</v>
      </c>
      <c r="B186" s="22" t="s">
        <v>711</v>
      </c>
      <c r="C186" s="24" t="s">
        <v>372</v>
      </c>
      <c r="D186" s="38">
        <v>1</v>
      </c>
      <c r="E186" s="39" t="s">
        <v>770</v>
      </c>
      <c r="F186" s="40"/>
      <c r="G186" s="41">
        <v>2374</v>
      </c>
      <c r="H186" s="40"/>
      <c r="I186" s="40"/>
      <c r="J186" s="42">
        <v>302</v>
      </c>
      <c r="K186" s="43" t="s">
        <v>156</v>
      </c>
      <c r="L186" s="43" t="s">
        <v>162</v>
      </c>
      <c r="M186" s="42" t="s">
        <v>596</v>
      </c>
      <c r="N186" s="43" t="s">
        <v>637</v>
      </c>
      <c r="O186" s="43" t="s">
        <v>790</v>
      </c>
      <c r="P186" s="44">
        <v>0</v>
      </c>
      <c r="Q186" s="45" t="s">
        <v>25</v>
      </c>
      <c r="R186" s="45" t="s">
        <v>26</v>
      </c>
      <c r="S186" s="42">
        <v>2028</v>
      </c>
      <c r="T186" s="46">
        <v>47026</v>
      </c>
      <c r="U186" s="47">
        <v>0.4</v>
      </c>
      <c r="V186" s="47">
        <v>0.5</v>
      </c>
      <c r="W186" s="48">
        <f t="shared" si="54"/>
        <v>0.9</v>
      </c>
      <c r="X186" s="47">
        <v>7.0000000000000007E-2</v>
      </c>
      <c r="Y186" s="47">
        <v>9.5000000000000001E-2</v>
      </c>
      <c r="Z186" s="47">
        <v>6.8000000000000005E-2</v>
      </c>
      <c r="AA186" s="53">
        <v>0.19800000000000001</v>
      </c>
      <c r="AB186" s="47">
        <v>9.9999999999999978E-2</v>
      </c>
      <c r="AC186" s="51">
        <f t="shared" si="53"/>
        <v>79997.34</v>
      </c>
      <c r="AD186" s="46"/>
      <c r="AE186" s="40">
        <f t="shared" si="55"/>
        <v>0</v>
      </c>
      <c r="AF186" s="53">
        <f t="shared" si="56"/>
        <v>0</v>
      </c>
      <c r="AG186" s="55">
        <f t="shared" si="57"/>
        <v>13.999534499999998</v>
      </c>
      <c r="AH186" s="40">
        <v>175</v>
      </c>
      <c r="AI186" s="40">
        <v>330.567520661157</v>
      </c>
      <c r="AJ186" s="40">
        <v>242</v>
      </c>
      <c r="AK186" s="40">
        <v>750</v>
      </c>
      <c r="AL186" s="55">
        <f t="shared" si="58"/>
        <v>59.998004999999999</v>
      </c>
      <c r="AM186" s="55">
        <f t="shared" si="59"/>
        <v>23.999202</v>
      </c>
      <c r="AN186" s="49">
        <v>247925.64</v>
      </c>
      <c r="AO186" s="57">
        <f t="shared" si="60"/>
        <v>57849.316115702473</v>
      </c>
      <c r="AP186" s="60">
        <f t="shared" si="61"/>
        <v>0.5</v>
      </c>
      <c r="AQ186" s="61">
        <f t="shared" si="62"/>
        <v>2.1428571428571432</v>
      </c>
    </row>
    <row r="187" spans="1:43">
      <c r="A187" s="22" t="s">
        <v>510</v>
      </c>
      <c r="B187" s="22" t="s">
        <v>712</v>
      </c>
      <c r="C187" s="24" t="s">
        <v>373</v>
      </c>
      <c r="D187" s="25">
        <v>1</v>
      </c>
      <c r="E187" s="26" t="s">
        <v>770</v>
      </c>
      <c r="F187" s="20"/>
      <c r="G187" s="27">
        <v>2374</v>
      </c>
      <c r="H187" s="20"/>
      <c r="I187" s="20"/>
      <c r="J187" s="28">
        <v>303</v>
      </c>
      <c r="K187" s="29" t="s">
        <v>156</v>
      </c>
      <c r="L187" s="29" t="s">
        <v>162</v>
      </c>
      <c r="M187" s="28" t="s">
        <v>596</v>
      </c>
      <c r="N187" s="29" t="s">
        <v>636</v>
      </c>
      <c r="O187" s="29" t="s">
        <v>790</v>
      </c>
      <c r="P187" s="37">
        <v>0</v>
      </c>
      <c r="Q187" s="30" t="s">
        <v>25</v>
      </c>
      <c r="R187" s="30" t="s">
        <v>26</v>
      </c>
      <c r="S187" s="28">
        <v>2029</v>
      </c>
      <c r="T187" s="32">
        <v>47391</v>
      </c>
      <c r="U187" s="31">
        <v>0.4</v>
      </c>
      <c r="V187" s="31">
        <v>0.5</v>
      </c>
      <c r="W187" s="36">
        <f t="shared" si="54"/>
        <v>0.9</v>
      </c>
      <c r="X187" s="31">
        <v>7.0000000000000007E-2</v>
      </c>
      <c r="Y187" s="31">
        <v>9.5000000000000001E-2</v>
      </c>
      <c r="Z187" s="31">
        <v>6.8000000000000005E-2</v>
      </c>
      <c r="AA187" s="52">
        <v>0.19800000000000001</v>
      </c>
      <c r="AB187" s="31">
        <v>9.9999999999999978E-2</v>
      </c>
      <c r="AC187" s="50">
        <f t="shared" si="53"/>
        <v>150500</v>
      </c>
      <c r="AD187" s="32"/>
      <c r="AE187" s="20">
        <f t="shared" si="55"/>
        <v>0</v>
      </c>
      <c r="AF187" s="52">
        <f t="shared" si="56"/>
        <v>0</v>
      </c>
      <c r="AG187" s="54">
        <f t="shared" si="57"/>
        <v>26.337499999999995</v>
      </c>
      <c r="AH187" s="20">
        <v>175</v>
      </c>
      <c r="AI187" s="20">
        <v>446.58753709198811</v>
      </c>
      <c r="AJ187" s="20">
        <v>337</v>
      </c>
      <c r="AK187" s="20">
        <v>750</v>
      </c>
      <c r="AL187" s="54">
        <f t="shared" si="58"/>
        <v>112.875</v>
      </c>
      <c r="AM187" s="54">
        <f t="shared" si="59"/>
        <v>45.150000000000006</v>
      </c>
      <c r="AN187" s="33">
        <v>334940.65000000002</v>
      </c>
      <c r="AO187" s="56">
        <f t="shared" si="60"/>
        <v>78152.818991097913</v>
      </c>
      <c r="AP187" s="58">
        <f t="shared" si="61"/>
        <v>0.5</v>
      </c>
      <c r="AQ187" s="59">
        <f t="shared" si="62"/>
        <v>2.1428571428571432</v>
      </c>
    </row>
    <row r="188" spans="1:43">
      <c r="A188" s="22" t="s">
        <v>511</v>
      </c>
      <c r="B188" s="22" t="s">
        <v>713</v>
      </c>
      <c r="C188" s="24" t="s">
        <v>375</v>
      </c>
      <c r="D188" s="38">
        <v>1</v>
      </c>
      <c r="E188" s="39" t="s">
        <v>770</v>
      </c>
      <c r="F188" s="40"/>
      <c r="G188" s="41">
        <v>2376</v>
      </c>
      <c r="H188" s="40"/>
      <c r="I188" s="40"/>
      <c r="J188" s="42">
        <v>304</v>
      </c>
      <c r="K188" s="43" t="s">
        <v>156</v>
      </c>
      <c r="L188" s="43" t="s">
        <v>162</v>
      </c>
      <c r="M188" s="42" t="s">
        <v>596</v>
      </c>
      <c r="N188" s="43" t="s">
        <v>635</v>
      </c>
      <c r="O188" s="43" t="s">
        <v>790</v>
      </c>
      <c r="P188" s="44">
        <v>0</v>
      </c>
      <c r="Q188" s="45" t="s">
        <v>25</v>
      </c>
      <c r="R188" s="45" t="s">
        <v>26</v>
      </c>
      <c r="S188" s="42">
        <v>2030</v>
      </c>
      <c r="T188" s="46">
        <v>47848</v>
      </c>
      <c r="U188" s="47">
        <v>0.47199999999999998</v>
      </c>
      <c r="V188" s="47">
        <v>0.41000000000000003</v>
      </c>
      <c r="W188" s="48">
        <f t="shared" si="54"/>
        <v>0.88200000000000001</v>
      </c>
      <c r="X188" s="47">
        <v>7.0000000000000007E-2</v>
      </c>
      <c r="Y188" s="47">
        <v>9.5000000000000001E-2</v>
      </c>
      <c r="Z188" s="47">
        <v>6.8000000000000005E-2</v>
      </c>
      <c r="AA188" s="53">
        <v>0.19800000000000001</v>
      </c>
      <c r="AB188" s="47">
        <v>0.11799999999999999</v>
      </c>
      <c r="AC188" s="51">
        <f t="shared" si="53"/>
        <v>82440</v>
      </c>
      <c r="AD188" s="46"/>
      <c r="AE188" s="40">
        <f t="shared" si="55"/>
        <v>0</v>
      </c>
      <c r="AF188" s="53">
        <f t="shared" si="56"/>
        <v>0</v>
      </c>
      <c r="AG188" s="55">
        <f t="shared" si="57"/>
        <v>14.427</v>
      </c>
      <c r="AH188" s="40">
        <v>175</v>
      </c>
      <c r="AI188" s="40">
        <v>360</v>
      </c>
      <c r="AJ188" s="40">
        <v>229</v>
      </c>
      <c r="AK188" s="40">
        <v>1000</v>
      </c>
      <c r="AL188" s="55">
        <f t="shared" si="58"/>
        <v>82.44</v>
      </c>
      <c r="AM188" s="55">
        <f t="shared" si="59"/>
        <v>38.911679999999997</v>
      </c>
      <c r="AN188" s="49">
        <v>360165.41</v>
      </c>
      <c r="AO188" s="57">
        <f t="shared" si="60"/>
        <v>63000</v>
      </c>
      <c r="AP188" s="60">
        <f t="shared" si="61"/>
        <v>0.59</v>
      </c>
      <c r="AQ188" s="61">
        <f t="shared" si="62"/>
        <v>3.371428571428571</v>
      </c>
    </row>
    <row r="189" spans="1:43">
      <c r="A189" s="22" t="s">
        <v>512</v>
      </c>
      <c r="B189" s="22" t="s">
        <v>714</v>
      </c>
      <c r="C189" s="24" t="s">
        <v>369</v>
      </c>
      <c r="D189" s="25">
        <v>1</v>
      </c>
      <c r="E189" s="26" t="s">
        <v>770</v>
      </c>
      <c r="F189" s="20"/>
      <c r="G189" s="27">
        <v>2373</v>
      </c>
      <c r="H189" s="20"/>
      <c r="I189" s="20"/>
      <c r="J189" s="28">
        <v>305</v>
      </c>
      <c r="K189" s="29" t="s">
        <v>156</v>
      </c>
      <c r="L189" s="29" t="s">
        <v>163</v>
      </c>
      <c r="M189" s="28" t="s">
        <v>596</v>
      </c>
      <c r="N189" s="29" t="s">
        <v>628</v>
      </c>
      <c r="O189" s="29" t="s">
        <v>790</v>
      </c>
      <c r="P189" s="37">
        <v>0</v>
      </c>
      <c r="Q189" s="30" t="s">
        <v>25</v>
      </c>
      <c r="R189" s="30" t="s">
        <v>26</v>
      </c>
      <c r="S189" s="28">
        <v>2027</v>
      </c>
      <c r="T189" s="32">
        <v>46568</v>
      </c>
      <c r="U189" s="31">
        <v>0.59179999999999999</v>
      </c>
      <c r="V189" s="31">
        <v>0.26029999999999998</v>
      </c>
      <c r="W189" s="36">
        <f t="shared" si="54"/>
        <v>0.85209999999999997</v>
      </c>
      <c r="X189" s="31">
        <v>7.0000000000000007E-2</v>
      </c>
      <c r="Y189" s="31">
        <v>9.5000000000000001E-2</v>
      </c>
      <c r="Z189" s="31">
        <v>6.8000000000000005E-2</v>
      </c>
      <c r="AA189" s="52">
        <v>0.19800000000000001</v>
      </c>
      <c r="AB189" s="31">
        <v>0.14790000000000003</v>
      </c>
      <c r="AC189" s="50">
        <f t="shared" si="53"/>
        <v>375000</v>
      </c>
      <c r="AD189" s="32"/>
      <c r="AE189" s="20">
        <f t="shared" si="55"/>
        <v>0</v>
      </c>
      <c r="AF189" s="52">
        <f t="shared" si="56"/>
        <v>0</v>
      </c>
      <c r="AG189" s="54">
        <f t="shared" si="57"/>
        <v>65.625</v>
      </c>
      <c r="AH189" s="20">
        <v>175</v>
      </c>
      <c r="AI189" s="20">
        <v>400</v>
      </c>
      <c r="AJ189" s="20">
        <v>937.5</v>
      </c>
      <c r="AK189" s="20">
        <v>750</v>
      </c>
      <c r="AL189" s="54">
        <f t="shared" si="58"/>
        <v>281.25</v>
      </c>
      <c r="AM189" s="54">
        <f t="shared" si="59"/>
        <v>166.44374999999999</v>
      </c>
      <c r="AN189" s="33">
        <v>300000</v>
      </c>
      <c r="AO189" s="56">
        <f t="shared" si="60"/>
        <v>70000</v>
      </c>
      <c r="AP189" s="58">
        <f t="shared" si="61"/>
        <v>0.73970000000000002</v>
      </c>
      <c r="AQ189" s="59">
        <f t="shared" si="62"/>
        <v>3.1701428571428574</v>
      </c>
    </row>
    <row r="190" spans="1:43">
      <c r="A190" s="22" t="s">
        <v>512</v>
      </c>
      <c r="B190" s="22" t="s">
        <v>715</v>
      </c>
      <c r="C190" s="24" t="s">
        <v>369</v>
      </c>
      <c r="D190" s="38">
        <v>1</v>
      </c>
      <c r="E190" s="39" t="s">
        <v>770</v>
      </c>
      <c r="F190" s="40"/>
      <c r="G190" s="41">
        <v>2373</v>
      </c>
      <c r="H190" s="40"/>
      <c r="I190" s="40"/>
      <c r="J190" s="42">
        <v>306</v>
      </c>
      <c r="K190" s="43" t="s">
        <v>156</v>
      </c>
      <c r="L190" s="43" t="s">
        <v>163</v>
      </c>
      <c r="M190" s="42" t="s">
        <v>596</v>
      </c>
      <c r="N190" s="43" t="s">
        <v>629</v>
      </c>
      <c r="O190" s="43" t="s">
        <v>790</v>
      </c>
      <c r="P190" s="44">
        <v>0</v>
      </c>
      <c r="Q190" s="45" t="s">
        <v>25</v>
      </c>
      <c r="R190" s="45" t="s">
        <v>26</v>
      </c>
      <c r="S190" s="42">
        <v>2029</v>
      </c>
      <c r="T190" s="46">
        <v>47299</v>
      </c>
      <c r="U190" s="47">
        <v>0.59179999999999999</v>
      </c>
      <c r="V190" s="47">
        <v>0.26029999999999998</v>
      </c>
      <c r="W190" s="48">
        <f t="shared" si="54"/>
        <v>0.85209999999999997</v>
      </c>
      <c r="X190" s="47">
        <v>7.0000000000000007E-2</v>
      </c>
      <c r="Y190" s="47">
        <v>9.5000000000000001E-2</v>
      </c>
      <c r="Z190" s="47">
        <v>6.8000000000000005E-2</v>
      </c>
      <c r="AA190" s="53">
        <v>0.19800000000000001</v>
      </c>
      <c r="AB190" s="47">
        <v>0.14790000000000003</v>
      </c>
      <c r="AC190" s="51">
        <f t="shared" si="53"/>
        <v>375000</v>
      </c>
      <c r="AD190" s="46"/>
      <c r="AE190" s="40">
        <f t="shared" si="55"/>
        <v>0</v>
      </c>
      <c r="AF190" s="53">
        <f t="shared" si="56"/>
        <v>0</v>
      </c>
      <c r="AG190" s="55">
        <f t="shared" si="57"/>
        <v>65.625</v>
      </c>
      <c r="AH190" s="40">
        <v>175</v>
      </c>
      <c r="AI190" s="40">
        <v>400</v>
      </c>
      <c r="AJ190" s="40">
        <v>937.5</v>
      </c>
      <c r="AK190" s="40">
        <v>750</v>
      </c>
      <c r="AL190" s="55">
        <f t="shared" si="58"/>
        <v>281.25</v>
      </c>
      <c r="AM190" s="55">
        <f t="shared" si="59"/>
        <v>166.44374999999999</v>
      </c>
      <c r="AN190" s="49">
        <v>300000</v>
      </c>
      <c r="AO190" s="57">
        <f t="shared" si="60"/>
        <v>70000</v>
      </c>
      <c r="AP190" s="60">
        <f t="shared" si="61"/>
        <v>0.73970000000000002</v>
      </c>
      <c r="AQ190" s="61">
        <f t="shared" si="62"/>
        <v>3.1701428571428574</v>
      </c>
    </row>
    <row r="191" spans="1:43">
      <c r="A191" s="22" t="s">
        <v>512</v>
      </c>
      <c r="B191" s="22" t="s">
        <v>716</v>
      </c>
      <c r="C191" s="24" t="s">
        <v>369</v>
      </c>
      <c r="D191" s="25">
        <v>1</v>
      </c>
      <c r="E191" s="26" t="s">
        <v>770</v>
      </c>
      <c r="F191" s="20"/>
      <c r="G191" s="27">
        <v>2373</v>
      </c>
      <c r="H191" s="20"/>
      <c r="I191" s="20"/>
      <c r="J191" s="28">
        <v>307</v>
      </c>
      <c r="K191" s="29" t="s">
        <v>156</v>
      </c>
      <c r="L191" s="29" t="s">
        <v>163</v>
      </c>
      <c r="M191" s="28" t="s">
        <v>596</v>
      </c>
      <c r="N191" s="29" t="s">
        <v>630</v>
      </c>
      <c r="O191" s="29" t="s">
        <v>790</v>
      </c>
      <c r="P191" s="37">
        <v>0</v>
      </c>
      <c r="Q191" s="30" t="s">
        <v>25</v>
      </c>
      <c r="R191" s="30" t="s">
        <v>26</v>
      </c>
      <c r="S191" s="28">
        <v>2031</v>
      </c>
      <c r="T191" s="32">
        <v>48029</v>
      </c>
      <c r="U191" s="31">
        <v>0.59179999999999999</v>
      </c>
      <c r="V191" s="31">
        <v>0.26029999999999998</v>
      </c>
      <c r="W191" s="36">
        <f t="shared" si="54"/>
        <v>0.85209999999999997</v>
      </c>
      <c r="X191" s="31">
        <v>7.0000000000000007E-2</v>
      </c>
      <c r="Y191" s="31">
        <v>9.5000000000000001E-2</v>
      </c>
      <c r="Z191" s="31">
        <v>6.8000000000000005E-2</v>
      </c>
      <c r="AA191" s="52">
        <v>0.19800000000000001</v>
      </c>
      <c r="AB191" s="31">
        <v>0.14790000000000003</v>
      </c>
      <c r="AC191" s="50">
        <f t="shared" ref="AC191:AC211" si="63">AI191*AJ191</f>
        <v>375000</v>
      </c>
      <c r="AD191" s="32"/>
      <c r="AE191" s="20">
        <f t="shared" si="55"/>
        <v>0</v>
      </c>
      <c r="AF191" s="52">
        <f t="shared" si="56"/>
        <v>0</v>
      </c>
      <c r="AG191" s="54">
        <f t="shared" si="57"/>
        <v>65.625</v>
      </c>
      <c r="AH191" s="20">
        <v>175</v>
      </c>
      <c r="AI191" s="20">
        <v>400</v>
      </c>
      <c r="AJ191" s="20">
        <v>937.5</v>
      </c>
      <c r="AK191" s="20">
        <v>750</v>
      </c>
      <c r="AL191" s="54">
        <f t="shared" si="58"/>
        <v>281.25</v>
      </c>
      <c r="AM191" s="54">
        <f t="shared" si="59"/>
        <v>166.44374999999999</v>
      </c>
      <c r="AN191" s="33">
        <v>300000</v>
      </c>
      <c r="AO191" s="56">
        <f t="shared" si="60"/>
        <v>70000</v>
      </c>
      <c r="AP191" s="58">
        <f t="shared" si="61"/>
        <v>0.73970000000000002</v>
      </c>
      <c r="AQ191" s="59">
        <f t="shared" si="62"/>
        <v>3.1701428571428574</v>
      </c>
    </row>
    <row r="192" spans="1:43">
      <c r="A192" s="22" t="s">
        <v>512</v>
      </c>
      <c r="B192" s="22" t="s">
        <v>717</v>
      </c>
      <c r="C192" s="24" t="s">
        <v>369</v>
      </c>
      <c r="D192" s="38">
        <v>1</v>
      </c>
      <c r="E192" s="39" t="s">
        <v>770</v>
      </c>
      <c r="F192" s="40"/>
      <c r="G192" s="41">
        <v>2373</v>
      </c>
      <c r="H192" s="40"/>
      <c r="I192" s="40"/>
      <c r="J192" s="42">
        <v>308</v>
      </c>
      <c r="K192" s="43" t="s">
        <v>156</v>
      </c>
      <c r="L192" s="43" t="s">
        <v>163</v>
      </c>
      <c r="M192" s="42" t="s">
        <v>596</v>
      </c>
      <c r="N192" s="43" t="s">
        <v>631</v>
      </c>
      <c r="O192" s="43" t="s">
        <v>790</v>
      </c>
      <c r="P192" s="44">
        <v>0</v>
      </c>
      <c r="Q192" s="45" t="s">
        <v>25</v>
      </c>
      <c r="R192" s="45" t="s">
        <v>26</v>
      </c>
      <c r="S192" s="42">
        <v>2033</v>
      </c>
      <c r="T192" s="46">
        <v>48760</v>
      </c>
      <c r="U192" s="47">
        <v>0.59179999999999999</v>
      </c>
      <c r="V192" s="47">
        <v>0.26029999999999998</v>
      </c>
      <c r="W192" s="48">
        <f t="shared" si="54"/>
        <v>0.85209999999999997</v>
      </c>
      <c r="X192" s="47">
        <v>7.0000000000000007E-2</v>
      </c>
      <c r="Y192" s="47">
        <v>9.5000000000000001E-2</v>
      </c>
      <c r="Z192" s="47">
        <v>6.8000000000000005E-2</v>
      </c>
      <c r="AA192" s="53">
        <v>0.19800000000000001</v>
      </c>
      <c r="AB192" s="47">
        <v>0.14790000000000003</v>
      </c>
      <c r="AC192" s="51">
        <f t="shared" si="63"/>
        <v>375000</v>
      </c>
      <c r="AD192" s="46"/>
      <c r="AE192" s="40">
        <f t="shared" si="55"/>
        <v>0</v>
      </c>
      <c r="AF192" s="53">
        <f t="shared" si="56"/>
        <v>0</v>
      </c>
      <c r="AG192" s="55">
        <f t="shared" si="57"/>
        <v>65.625</v>
      </c>
      <c r="AH192" s="40">
        <v>175</v>
      </c>
      <c r="AI192" s="40">
        <v>400</v>
      </c>
      <c r="AJ192" s="40">
        <v>937.5</v>
      </c>
      <c r="AK192" s="40">
        <v>750</v>
      </c>
      <c r="AL192" s="55">
        <f t="shared" si="58"/>
        <v>281.25</v>
      </c>
      <c r="AM192" s="55">
        <f t="shared" si="59"/>
        <v>166.44374999999999</v>
      </c>
      <c r="AN192" s="49">
        <v>300000</v>
      </c>
      <c r="AO192" s="57">
        <f t="shared" si="60"/>
        <v>70000</v>
      </c>
      <c r="AP192" s="60">
        <f t="shared" si="61"/>
        <v>0.73970000000000002</v>
      </c>
      <c r="AQ192" s="61">
        <f t="shared" si="62"/>
        <v>3.1701428571428574</v>
      </c>
    </row>
    <row r="193" spans="1:43">
      <c r="A193" s="22" t="s">
        <v>513</v>
      </c>
      <c r="B193" s="22" t="s">
        <v>718</v>
      </c>
      <c r="C193" s="24" t="s">
        <v>367</v>
      </c>
      <c r="D193" s="25">
        <v>1</v>
      </c>
      <c r="E193" s="26" t="s">
        <v>770</v>
      </c>
      <c r="F193" s="20"/>
      <c r="G193" s="27">
        <v>2388</v>
      </c>
      <c r="H193" s="20"/>
      <c r="I193" s="20"/>
      <c r="J193" s="28">
        <v>309</v>
      </c>
      <c r="K193" s="29" t="s">
        <v>156</v>
      </c>
      <c r="L193" s="29" t="s">
        <v>164</v>
      </c>
      <c r="M193" s="28" t="s">
        <v>596</v>
      </c>
      <c r="N193" s="29" t="s">
        <v>649</v>
      </c>
      <c r="O193" s="29" t="s">
        <v>790</v>
      </c>
      <c r="P193" s="37">
        <v>0</v>
      </c>
      <c r="Q193" s="30" t="s">
        <v>25</v>
      </c>
      <c r="R193" s="30" t="s">
        <v>26</v>
      </c>
      <c r="S193" s="28">
        <v>2027</v>
      </c>
      <c r="T193" s="32">
        <v>46477</v>
      </c>
      <c r="U193" s="31">
        <v>0.56000000000000005</v>
      </c>
      <c r="V193" s="31">
        <v>0.29999999999999993</v>
      </c>
      <c r="W193" s="36">
        <f t="shared" si="54"/>
        <v>0.86</v>
      </c>
      <c r="X193" s="31">
        <v>7.0000000000000007E-2</v>
      </c>
      <c r="Y193" s="31">
        <v>9.5000000000000001E-2</v>
      </c>
      <c r="Z193" s="31">
        <v>6.8000000000000005E-2</v>
      </c>
      <c r="AA193" s="52">
        <v>0.19800000000000001</v>
      </c>
      <c r="AB193" s="31">
        <v>0.14000000000000001</v>
      </c>
      <c r="AC193" s="50">
        <f t="shared" si="63"/>
        <v>148565</v>
      </c>
      <c r="AD193" s="32"/>
      <c r="AE193" s="20">
        <f t="shared" si="55"/>
        <v>0</v>
      </c>
      <c r="AF193" s="52">
        <f t="shared" si="56"/>
        <v>0</v>
      </c>
      <c r="AG193" s="54">
        <f t="shared" si="57"/>
        <v>25.998875000000002</v>
      </c>
      <c r="AH193" s="20">
        <v>175</v>
      </c>
      <c r="AI193" s="20">
        <v>215</v>
      </c>
      <c r="AJ193" s="20">
        <v>691</v>
      </c>
      <c r="AK193" s="20">
        <v>600</v>
      </c>
      <c r="AL193" s="54">
        <f t="shared" si="58"/>
        <v>89.138999999999996</v>
      </c>
      <c r="AM193" s="54">
        <f t="shared" si="59"/>
        <v>49.917840000000005</v>
      </c>
      <c r="AN193" s="33">
        <v>129000</v>
      </c>
      <c r="AO193" s="56">
        <f t="shared" si="60"/>
        <v>37625</v>
      </c>
      <c r="AP193" s="58">
        <f t="shared" si="61"/>
        <v>0.70000000000000007</v>
      </c>
      <c r="AQ193" s="59">
        <f t="shared" si="62"/>
        <v>2.4</v>
      </c>
    </row>
    <row r="194" spans="1:43">
      <c r="A194" s="22" t="s">
        <v>514</v>
      </c>
      <c r="B194" s="22" t="s">
        <v>719</v>
      </c>
      <c r="C194" s="24" t="s">
        <v>368</v>
      </c>
      <c r="D194" s="38">
        <v>1</v>
      </c>
      <c r="E194" s="39" t="s">
        <v>770</v>
      </c>
      <c r="F194" s="40"/>
      <c r="G194" s="41">
        <v>2388</v>
      </c>
      <c r="H194" s="40"/>
      <c r="I194" s="40"/>
      <c r="J194" s="42">
        <v>310</v>
      </c>
      <c r="K194" s="43" t="s">
        <v>156</v>
      </c>
      <c r="L194" s="43" t="s">
        <v>164</v>
      </c>
      <c r="M194" s="42" t="s">
        <v>596</v>
      </c>
      <c r="N194" s="43" t="s">
        <v>650</v>
      </c>
      <c r="O194" s="43" t="s">
        <v>790</v>
      </c>
      <c r="P194" s="44">
        <v>0</v>
      </c>
      <c r="Q194" s="45" t="s">
        <v>25</v>
      </c>
      <c r="R194" s="45" t="s">
        <v>26</v>
      </c>
      <c r="S194" s="42">
        <v>2026</v>
      </c>
      <c r="T194" s="46">
        <v>46203</v>
      </c>
      <c r="U194" s="47">
        <v>0.54400000000000004</v>
      </c>
      <c r="V194" s="47">
        <v>0.31999999999999995</v>
      </c>
      <c r="W194" s="48">
        <f t="shared" si="54"/>
        <v>0.86399999999999999</v>
      </c>
      <c r="X194" s="47">
        <v>7.0000000000000007E-2</v>
      </c>
      <c r="Y194" s="47">
        <v>9.5000000000000001E-2</v>
      </c>
      <c r="Z194" s="47">
        <v>6.8000000000000005E-2</v>
      </c>
      <c r="AA194" s="53">
        <v>0.19800000000000001</v>
      </c>
      <c r="AB194" s="47">
        <v>0.13600000000000001</v>
      </c>
      <c r="AC194" s="51">
        <f t="shared" si="63"/>
        <v>84153.46</v>
      </c>
      <c r="AD194" s="46"/>
      <c r="AE194" s="40">
        <f t="shared" si="55"/>
        <v>0</v>
      </c>
      <c r="AF194" s="53">
        <f t="shared" si="56"/>
        <v>0</v>
      </c>
      <c r="AG194" s="55">
        <f t="shared" si="57"/>
        <v>14.726855500000001</v>
      </c>
      <c r="AH194" s="40">
        <v>175</v>
      </c>
      <c r="AI194" s="40">
        <v>235.06553072625701</v>
      </c>
      <c r="AJ194" s="40">
        <v>358</v>
      </c>
      <c r="AK194" s="40">
        <v>650</v>
      </c>
      <c r="AL194" s="55">
        <f t="shared" si="58"/>
        <v>54.699749000000004</v>
      </c>
      <c r="AM194" s="55">
        <f t="shared" si="59"/>
        <v>29.756663456000005</v>
      </c>
      <c r="AN194" s="49">
        <v>152792.59497206705</v>
      </c>
      <c r="AO194" s="57">
        <f t="shared" si="60"/>
        <v>41136.467877094976</v>
      </c>
      <c r="AP194" s="60">
        <f t="shared" si="61"/>
        <v>0.68</v>
      </c>
      <c r="AQ194" s="61">
        <f t="shared" si="62"/>
        <v>2.5257142857142862</v>
      </c>
    </row>
    <row r="195" spans="1:43">
      <c r="A195" s="22" t="s">
        <v>515</v>
      </c>
      <c r="B195" s="22" t="s">
        <v>720</v>
      </c>
      <c r="C195" s="24" t="s">
        <v>368</v>
      </c>
      <c r="D195" s="25">
        <v>1</v>
      </c>
      <c r="E195" s="26" t="s">
        <v>770</v>
      </c>
      <c r="F195" s="20"/>
      <c r="G195" s="27">
        <v>2389</v>
      </c>
      <c r="H195" s="20"/>
      <c r="I195" s="20"/>
      <c r="J195" s="28">
        <v>311</v>
      </c>
      <c r="K195" s="29" t="s">
        <v>156</v>
      </c>
      <c r="L195" s="29" t="s">
        <v>164</v>
      </c>
      <c r="M195" s="28" t="s">
        <v>596</v>
      </c>
      <c r="N195" s="29" t="s">
        <v>651</v>
      </c>
      <c r="O195" s="29" t="s">
        <v>790</v>
      </c>
      <c r="P195" s="37">
        <v>0</v>
      </c>
      <c r="Q195" s="30" t="s">
        <v>25</v>
      </c>
      <c r="R195" s="30" t="s">
        <v>26</v>
      </c>
      <c r="S195" s="28">
        <v>2028</v>
      </c>
      <c r="T195" s="32">
        <v>46843</v>
      </c>
      <c r="U195" s="31">
        <v>0.624</v>
      </c>
      <c r="V195" s="31">
        <v>0.21999999999999997</v>
      </c>
      <c r="W195" s="36">
        <f t="shared" si="54"/>
        <v>0.84399999999999997</v>
      </c>
      <c r="X195" s="31">
        <v>7.0000000000000007E-2</v>
      </c>
      <c r="Y195" s="31">
        <v>9.5000000000000001E-2</v>
      </c>
      <c r="Z195" s="31">
        <v>6.8000000000000005E-2</v>
      </c>
      <c r="AA195" s="52">
        <v>0.19800000000000001</v>
      </c>
      <c r="AB195" s="31">
        <v>0.15600000000000003</v>
      </c>
      <c r="AC195" s="50">
        <f t="shared" si="63"/>
        <v>114390</v>
      </c>
      <c r="AD195" s="32"/>
      <c r="AE195" s="20">
        <f t="shared" si="55"/>
        <v>0</v>
      </c>
      <c r="AF195" s="52">
        <f t="shared" si="56"/>
        <v>0</v>
      </c>
      <c r="AG195" s="54">
        <f t="shared" si="57"/>
        <v>20.018249999999998</v>
      </c>
      <c r="AH195" s="20">
        <v>175</v>
      </c>
      <c r="AI195" s="20">
        <v>220.40462427745663</v>
      </c>
      <c r="AJ195" s="20">
        <v>519</v>
      </c>
      <c r="AK195" s="20">
        <v>600</v>
      </c>
      <c r="AL195" s="54">
        <f t="shared" si="58"/>
        <v>68.634</v>
      </c>
      <c r="AM195" s="54">
        <f t="shared" si="59"/>
        <v>42.827615999999999</v>
      </c>
      <c r="AN195" s="33">
        <v>132242.77456647399</v>
      </c>
      <c r="AO195" s="56">
        <f t="shared" si="60"/>
        <v>38570.809248554913</v>
      </c>
      <c r="AP195" s="58">
        <f t="shared" si="61"/>
        <v>0.78</v>
      </c>
      <c r="AQ195" s="59">
        <f t="shared" si="62"/>
        <v>2.6742857142857144</v>
      </c>
    </row>
    <row r="196" spans="1:43">
      <c r="A196" s="22" t="s">
        <v>516</v>
      </c>
      <c r="B196" s="22" t="s">
        <v>721</v>
      </c>
      <c r="C196" s="24" t="s">
        <v>366</v>
      </c>
      <c r="D196" s="38">
        <v>1</v>
      </c>
      <c r="E196" s="39" t="s">
        <v>770</v>
      </c>
      <c r="F196" s="40"/>
      <c r="G196" s="41">
        <v>2380</v>
      </c>
      <c r="H196" s="40"/>
      <c r="I196" s="40"/>
      <c r="J196" s="42">
        <v>312</v>
      </c>
      <c r="K196" s="43" t="s">
        <v>156</v>
      </c>
      <c r="L196" s="43" t="s">
        <v>165</v>
      </c>
      <c r="M196" s="42" t="s">
        <v>596</v>
      </c>
      <c r="N196" s="43" t="s">
        <v>652</v>
      </c>
      <c r="O196" s="43" t="s">
        <v>790</v>
      </c>
      <c r="P196" s="44">
        <v>0</v>
      </c>
      <c r="Q196" s="45" t="s">
        <v>25</v>
      </c>
      <c r="R196" s="45" t="s">
        <v>789</v>
      </c>
      <c r="S196" s="42">
        <v>2027</v>
      </c>
      <c r="T196" s="46">
        <v>46477</v>
      </c>
      <c r="U196" s="47">
        <v>0.56000000000000005</v>
      </c>
      <c r="V196" s="47">
        <v>0.29999999999999993</v>
      </c>
      <c r="W196" s="48">
        <f t="shared" si="54"/>
        <v>0.86</v>
      </c>
      <c r="X196" s="47">
        <v>7.0000000000000007E-2</v>
      </c>
      <c r="Y196" s="47">
        <v>9.5000000000000001E-2</v>
      </c>
      <c r="Z196" s="47">
        <v>6.8000000000000005E-2</v>
      </c>
      <c r="AA196" s="53">
        <v>0.19800000000000001</v>
      </c>
      <c r="AB196" s="47">
        <v>0.14000000000000001</v>
      </c>
      <c r="AC196" s="51">
        <f t="shared" si="63"/>
        <v>344326.77299999999</v>
      </c>
      <c r="AD196" s="46"/>
      <c r="AE196" s="40">
        <f t="shared" si="55"/>
        <v>0</v>
      </c>
      <c r="AF196" s="53">
        <f t="shared" si="56"/>
        <v>0</v>
      </c>
      <c r="AG196" s="55">
        <f t="shared" si="57"/>
        <v>60.257185274999998</v>
      </c>
      <c r="AH196" s="40">
        <v>175</v>
      </c>
      <c r="AI196" s="40">
        <v>234.23589999999999</v>
      </c>
      <c r="AJ196" s="40">
        <v>1470</v>
      </c>
      <c r="AK196" s="40">
        <v>550</v>
      </c>
      <c r="AL196" s="55">
        <f t="shared" si="58"/>
        <v>189.37972514999998</v>
      </c>
      <c r="AM196" s="55">
        <f t="shared" si="59"/>
        <v>106.052646084</v>
      </c>
      <c r="AN196" s="49">
        <v>202910.7327008929</v>
      </c>
      <c r="AO196" s="57">
        <f t="shared" si="60"/>
        <v>40991.282500000001</v>
      </c>
      <c r="AP196" s="60">
        <f t="shared" si="61"/>
        <v>0.70000000000000007</v>
      </c>
      <c r="AQ196" s="61">
        <f t="shared" si="62"/>
        <v>2.2000000000000002</v>
      </c>
    </row>
    <row r="197" spans="1:43">
      <c r="A197" s="22" t="s">
        <v>517</v>
      </c>
      <c r="B197" s="22" t="s">
        <v>722</v>
      </c>
      <c r="C197" s="24" t="s">
        <v>366</v>
      </c>
      <c r="D197" s="25">
        <v>1</v>
      </c>
      <c r="E197" s="26" t="s">
        <v>770</v>
      </c>
      <c r="F197" s="20"/>
      <c r="G197" s="27">
        <v>2380</v>
      </c>
      <c r="H197" s="20"/>
      <c r="I197" s="20"/>
      <c r="J197" s="28">
        <v>313</v>
      </c>
      <c r="K197" s="29" t="s">
        <v>156</v>
      </c>
      <c r="L197" s="29" t="s">
        <v>165</v>
      </c>
      <c r="M197" s="28" t="s">
        <v>596</v>
      </c>
      <c r="N197" s="29" t="s">
        <v>653</v>
      </c>
      <c r="O197" s="29" t="s">
        <v>790</v>
      </c>
      <c r="P197" s="37">
        <v>0</v>
      </c>
      <c r="Q197" s="30" t="s">
        <v>25</v>
      </c>
      <c r="R197" s="30" t="s">
        <v>789</v>
      </c>
      <c r="S197" s="28">
        <v>2026</v>
      </c>
      <c r="T197" s="32">
        <v>46203</v>
      </c>
      <c r="U197" s="31">
        <v>0.55200000000000005</v>
      </c>
      <c r="V197" s="31">
        <v>0.30999999999999994</v>
      </c>
      <c r="W197" s="36">
        <f t="shared" si="54"/>
        <v>0.86199999999999999</v>
      </c>
      <c r="X197" s="31">
        <v>7.0000000000000007E-2</v>
      </c>
      <c r="Y197" s="31">
        <v>9.5000000000000001E-2</v>
      </c>
      <c r="Z197" s="31">
        <v>6.8000000000000005E-2</v>
      </c>
      <c r="AA197" s="52">
        <v>0.19800000000000001</v>
      </c>
      <c r="AB197" s="31">
        <v>0.13800000000000001</v>
      </c>
      <c r="AC197" s="50">
        <f t="shared" si="63"/>
        <v>63327</v>
      </c>
      <c r="AD197" s="32"/>
      <c r="AE197" s="20">
        <f t="shared" si="55"/>
        <v>0</v>
      </c>
      <c r="AF197" s="52">
        <f t="shared" si="56"/>
        <v>0</v>
      </c>
      <c r="AG197" s="54">
        <f t="shared" si="57"/>
        <v>8.8657800000000009</v>
      </c>
      <c r="AH197" s="20">
        <v>140</v>
      </c>
      <c r="AI197" s="20">
        <v>1111</v>
      </c>
      <c r="AJ197" s="20">
        <v>57</v>
      </c>
      <c r="AK197" s="20">
        <v>900</v>
      </c>
      <c r="AL197" s="54">
        <f t="shared" si="58"/>
        <v>56.994300000000003</v>
      </c>
      <c r="AM197" s="54">
        <f t="shared" si="59"/>
        <v>31.460853600000004</v>
      </c>
      <c r="AN197" s="33">
        <v>1000094.6842105264</v>
      </c>
      <c r="AO197" s="56">
        <f t="shared" si="60"/>
        <v>155540</v>
      </c>
      <c r="AP197" s="58">
        <f t="shared" si="61"/>
        <v>0.69000000000000006</v>
      </c>
      <c r="AQ197" s="59">
        <f t="shared" si="62"/>
        <v>4.4357142857142851</v>
      </c>
    </row>
    <row r="198" spans="1:43">
      <c r="A198" s="22" t="s">
        <v>519</v>
      </c>
      <c r="B198" s="22" t="s">
        <v>723</v>
      </c>
      <c r="C198" s="24" t="s">
        <v>365</v>
      </c>
      <c r="D198" s="38">
        <v>1</v>
      </c>
      <c r="E198" s="39" t="s">
        <v>770</v>
      </c>
      <c r="F198" s="40"/>
      <c r="G198" s="41">
        <v>2383</v>
      </c>
      <c r="H198" s="40"/>
      <c r="I198" s="40"/>
      <c r="J198" s="42">
        <v>316</v>
      </c>
      <c r="K198" s="43" t="s">
        <v>156</v>
      </c>
      <c r="L198" s="43" t="s">
        <v>758</v>
      </c>
      <c r="M198" s="42" t="s">
        <v>596</v>
      </c>
      <c r="N198" s="43" t="s">
        <v>654</v>
      </c>
      <c r="O198" s="43" t="s">
        <v>790</v>
      </c>
      <c r="P198" s="44">
        <v>0</v>
      </c>
      <c r="Q198" s="45" t="s">
        <v>25</v>
      </c>
      <c r="R198" s="45" t="s">
        <v>26</v>
      </c>
      <c r="S198" s="42">
        <v>2032</v>
      </c>
      <c r="T198" s="46">
        <v>48395</v>
      </c>
      <c r="U198" s="47">
        <v>0.64800000000000002</v>
      </c>
      <c r="V198" s="47">
        <v>0.18999999999999995</v>
      </c>
      <c r="W198" s="48">
        <f t="shared" si="54"/>
        <v>0.83799999999999997</v>
      </c>
      <c r="X198" s="47">
        <v>7.0000000000000007E-2</v>
      </c>
      <c r="Y198" s="47">
        <v>0.08</v>
      </c>
      <c r="Z198" s="47">
        <v>6.8000000000000005E-2</v>
      </c>
      <c r="AA198" s="53">
        <v>0.19800000000000001</v>
      </c>
      <c r="AB198" s="47">
        <v>0.16200000000000003</v>
      </c>
      <c r="AC198" s="51">
        <f t="shared" si="63"/>
        <v>269500</v>
      </c>
      <c r="AD198" s="46"/>
      <c r="AE198" s="40">
        <f t="shared" si="55"/>
        <v>0</v>
      </c>
      <c r="AF198" s="53">
        <f t="shared" si="56"/>
        <v>0</v>
      </c>
      <c r="AG198" s="55">
        <f t="shared" si="57"/>
        <v>47.162500000000001</v>
      </c>
      <c r="AH198" s="40">
        <v>175</v>
      </c>
      <c r="AI198" s="40">
        <v>245</v>
      </c>
      <c r="AJ198" s="40">
        <v>1100</v>
      </c>
      <c r="AK198" s="40">
        <v>550</v>
      </c>
      <c r="AL198" s="55">
        <f t="shared" si="58"/>
        <v>148.22499999999999</v>
      </c>
      <c r="AM198" s="55">
        <f t="shared" si="59"/>
        <v>96.049800000000005</v>
      </c>
      <c r="AN198" s="49">
        <v>123750</v>
      </c>
      <c r="AO198" s="57">
        <f t="shared" si="60"/>
        <v>42875</v>
      </c>
      <c r="AP198" s="60">
        <f t="shared" si="61"/>
        <v>0.81</v>
      </c>
      <c r="AQ198" s="61">
        <f t="shared" si="62"/>
        <v>2.5457142857142858</v>
      </c>
    </row>
    <row r="199" spans="1:43">
      <c r="A199" s="22" t="s">
        <v>520</v>
      </c>
      <c r="B199" s="22" t="s">
        <v>725</v>
      </c>
      <c r="C199" s="24" t="s">
        <v>364</v>
      </c>
      <c r="D199" s="25">
        <v>1</v>
      </c>
      <c r="E199" s="26" t="s">
        <v>769</v>
      </c>
      <c r="F199" s="20"/>
      <c r="G199" s="27">
        <v>2391</v>
      </c>
      <c r="H199" s="20"/>
      <c r="I199" s="20"/>
      <c r="J199" s="28">
        <v>317</v>
      </c>
      <c r="K199" s="29" t="s">
        <v>156</v>
      </c>
      <c r="L199" s="29" t="s">
        <v>167</v>
      </c>
      <c r="M199" s="28" t="s">
        <v>589</v>
      </c>
      <c r="N199" s="29" t="s">
        <v>612</v>
      </c>
      <c r="O199" s="29" t="s">
        <v>790</v>
      </c>
      <c r="P199" s="37">
        <v>0</v>
      </c>
      <c r="Q199" s="30" t="s">
        <v>25</v>
      </c>
      <c r="R199" s="30" t="s">
        <v>26</v>
      </c>
      <c r="S199" s="28">
        <v>2028</v>
      </c>
      <c r="T199" s="32">
        <v>47026</v>
      </c>
      <c r="U199" s="31">
        <v>0.6</v>
      </c>
      <c r="V199" s="31">
        <v>0.25</v>
      </c>
      <c r="W199" s="36">
        <f t="shared" si="54"/>
        <v>0.85</v>
      </c>
      <c r="X199" s="31">
        <v>7.0000000000000007E-2</v>
      </c>
      <c r="Y199" s="31">
        <v>7.0000000000000007E-2</v>
      </c>
      <c r="Z199" s="31">
        <v>6.8000000000000005E-2</v>
      </c>
      <c r="AA199" s="52">
        <v>0.19800000000000001</v>
      </c>
      <c r="AB199" s="31">
        <v>0.15000000000000002</v>
      </c>
      <c r="AC199" s="50">
        <f t="shared" si="63"/>
        <v>283242.12288786483</v>
      </c>
      <c r="AD199" s="32"/>
      <c r="AE199" s="20">
        <f t="shared" si="55"/>
        <v>0</v>
      </c>
      <c r="AF199" s="52">
        <f t="shared" si="56"/>
        <v>0</v>
      </c>
      <c r="AG199" s="54">
        <f t="shared" si="57"/>
        <v>49.567371505376343</v>
      </c>
      <c r="AH199" s="20">
        <v>175</v>
      </c>
      <c r="AI199" s="20">
        <v>224.97388632872503</v>
      </c>
      <c r="AJ199" s="20">
        <v>1259</v>
      </c>
      <c r="AK199" s="20">
        <v>550</v>
      </c>
      <c r="AL199" s="54">
        <f t="shared" si="58"/>
        <v>155.78316758832565</v>
      </c>
      <c r="AM199" s="54">
        <f t="shared" si="59"/>
        <v>93.469900552995384</v>
      </c>
      <c r="AN199" s="33">
        <v>123735.63748079876</v>
      </c>
      <c r="AO199" s="56">
        <f t="shared" si="60"/>
        <v>39370.430107526881</v>
      </c>
      <c r="AP199" s="58">
        <f t="shared" si="61"/>
        <v>0.75</v>
      </c>
      <c r="AQ199" s="59">
        <f t="shared" si="62"/>
        <v>2.3571428571428572</v>
      </c>
    </row>
    <row r="200" spans="1:43">
      <c r="A200" s="22" t="s">
        <v>520</v>
      </c>
      <c r="B200" s="22" t="s">
        <v>725</v>
      </c>
      <c r="C200" s="24" t="s">
        <v>364</v>
      </c>
      <c r="D200" s="38">
        <v>1</v>
      </c>
      <c r="E200" s="39" t="s">
        <v>769</v>
      </c>
      <c r="F200" s="40"/>
      <c r="G200" s="41">
        <v>2391</v>
      </c>
      <c r="H200" s="40"/>
      <c r="I200" s="40"/>
      <c r="J200" s="42">
        <v>318</v>
      </c>
      <c r="K200" s="43" t="s">
        <v>156</v>
      </c>
      <c r="L200" s="43" t="s">
        <v>167</v>
      </c>
      <c r="M200" s="42" t="s">
        <v>589</v>
      </c>
      <c r="N200" s="43" t="s">
        <v>612</v>
      </c>
      <c r="O200" s="43" t="s">
        <v>790</v>
      </c>
      <c r="P200" s="44">
        <v>0</v>
      </c>
      <c r="Q200" s="45" t="s">
        <v>25</v>
      </c>
      <c r="R200" s="45" t="s">
        <v>26</v>
      </c>
      <c r="S200" s="42">
        <v>2030</v>
      </c>
      <c r="T200" s="46">
        <v>47756</v>
      </c>
      <c r="U200" s="47">
        <v>0.6</v>
      </c>
      <c r="V200" s="47">
        <v>0.25</v>
      </c>
      <c r="W200" s="48">
        <f t="shared" si="54"/>
        <v>0.85</v>
      </c>
      <c r="X200" s="47">
        <v>7.0000000000000007E-2</v>
      </c>
      <c r="Y200" s="47">
        <v>7.0000000000000007E-2</v>
      </c>
      <c r="Z200" s="47">
        <v>6.8000000000000005E-2</v>
      </c>
      <c r="AA200" s="53">
        <v>0.19800000000000001</v>
      </c>
      <c r="AB200" s="47">
        <v>0.15000000000000002</v>
      </c>
      <c r="AC200" s="51">
        <f t="shared" si="63"/>
        <v>283242.12288786483</v>
      </c>
      <c r="AD200" s="46"/>
      <c r="AE200" s="40">
        <f t="shared" si="55"/>
        <v>0</v>
      </c>
      <c r="AF200" s="53">
        <f t="shared" si="56"/>
        <v>0</v>
      </c>
      <c r="AG200" s="55">
        <f t="shared" si="57"/>
        <v>49.567371505376343</v>
      </c>
      <c r="AH200" s="40">
        <v>175</v>
      </c>
      <c r="AI200" s="40">
        <v>224.97388632872503</v>
      </c>
      <c r="AJ200" s="40">
        <v>1259</v>
      </c>
      <c r="AK200" s="40">
        <v>550</v>
      </c>
      <c r="AL200" s="55">
        <f t="shared" si="58"/>
        <v>155.78316758832565</v>
      </c>
      <c r="AM200" s="55">
        <f t="shared" si="59"/>
        <v>93.469900552995384</v>
      </c>
      <c r="AN200" s="49">
        <v>123735.63748079876</v>
      </c>
      <c r="AO200" s="57">
        <f t="shared" si="60"/>
        <v>39370.430107526881</v>
      </c>
      <c r="AP200" s="60">
        <f t="shared" si="61"/>
        <v>0.75</v>
      </c>
      <c r="AQ200" s="61">
        <f t="shared" si="62"/>
        <v>2.3571428571428572</v>
      </c>
    </row>
    <row r="201" spans="1:43">
      <c r="A201" s="22" t="s">
        <v>520</v>
      </c>
      <c r="B201" s="22" t="s">
        <v>725</v>
      </c>
      <c r="C201" s="24" t="s">
        <v>364</v>
      </c>
      <c r="D201" s="25">
        <v>1</v>
      </c>
      <c r="E201" s="26" t="s">
        <v>769</v>
      </c>
      <c r="F201" s="20"/>
      <c r="G201" s="27">
        <v>2391</v>
      </c>
      <c r="H201" s="20"/>
      <c r="I201" s="20"/>
      <c r="J201" s="28">
        <v>319</v>
      </c>
      <c r="K201" s="29" t="s">
        <v>156</v>
      </c>
      <c r="L201" s="29" t="s">
        <v>167</v>
      </c>
      <c r="M201" s="28" t="s">
        <v>589</v>
      </c>
      <c r="N201" s="29" t="s">
        <v>612</v>
      </c>
      <c r="O201" s="29" t="s">
        <v>790</v>
      </c>
      <c r="P201" s="37">
        <v>0</v>
      </c>
      <c r="Q201" s="30" t="s">
        <v>25</v>
      </c>
      <c r="R201" s="30" t="s">
        <v>26</v>
      </c>
      <c r="S201" s="28">
        <v>2032</v>
      </c>
      <c r="T201" s="32">
        <v>48487</v>
      </c>
      <c r="U201" s="31">
        <v>0.6</v>
      </c>
      <c r="V201" s="31">
        <v>0.25</v>
      </c>
      <c r="W201" s="36">
        <f t="shared" si="54"/>
        <v>0.85</v>
      </c>
      <c r="X201" s="31">
        <v>7.0000000000000007E-2</v>
      </c>
      <c r="Y201" s="31">
        <v>7.0000000000000007E-2</v>
      </c>
      <c r="Z201" s="31">
        <v>6.8000000000000005E-2</v>
      </c>
      <c r="AA201" s="52">
        <v>0.19800000000000001</v>
      </c>
      <c r="AB201" s="31">
        <v>0.15000000000000002</v>
      </c>
      <c r="AC201" s="50">
        <f t="shared" si="63"/>
        <v>283242.12288786483</v>
      </c>
      <c r="AD201" s="32"/>
      <c r="AE201" s="20">
        <f t="shared" si="55"/>
        <v>0</v>
      </c>
      <c r="AF201" s="52">
        <f t="shared" si="56"/>
        <v>0</v>
      </c>
      <c r="AG201" s="54">
        <f t="shared" si="57"/>
        <v>49.567371505376343</v>
      </c>
      <c r="AH201" s="20">
        <v>175</v>
      </c>
      <c r="AI201" s="20">
        <v>224.97388632872503</v>
      </c>
      <c r="AJ201" s="20">
        <v>1259</v>
      </c>
      <c r="AK201" s="20">
        <v>550</v>
      </c>
      <c r="AL201" s="54">
        <f t="shared" si="58"/>
        <v>155.78316758832565</v>
      </c>
      <c r="AM201" s="54">
        <f t="shared" si="59"/>
        <v>93.469900552995384</v>
      </c>
      <c r="AN201" s="33">
        <v>123735.63748079876</v>
      </c>
      <c r="AO201" s="56">
        <f t="shared" si="60"/>
        <v>39370.430107526881</v>
      </c>
      <c r="AP201" s="58">
        <f t="shared" si="61"/>
        <v>0.75</v>
      </c>
      <c r="AQ201" s="59">
        <f t="shared" si="62"/>
        <v>2.3571428571428572</v>
      </c>
    </row>
    <row r="202" spans="1:43">
      <c r="A202" s="22" t="s">
        <v>521</v>
      </c>
      <c r="B202" s="22" t="s">
        <v>726</v>
      </c>
      <c r="C202" s="24" t="s">
        <v>363</v>
      </c>
      <c r="D202" s="38">
        <v>1</v>
      </c>
      <c r="E202" s="39" t="s">
        <v>770</v>
      </c>
      <c r="F202" s="40"/>
      <c r="G202" s="41">
        <v>2393</v>
      </c>
      <c r="H202" s="40"/>
      <c r="I202" s="40"/>
      <c r="J202" s="42">
        <v>320</v>
      </c>
      <c r="K202" s="43" t="s">
        <v>156</v>
      </c>
      <c r="L202" s="43" t="s">
        <v>168</v>
      </c>
      <c r="M202" s="42" t="s">
        <v>596</v>
      </c>
      <c r="N202" s="43" t="s">
        <v>613</v>
      </c>
      <c r="O202" s="43" t="s">
        <v>790</v>
      </c>
      <c r="P202" s="44">
        <v>0</v>
      </c>
      <c r="Q202" s="45" t="s">
        <v>25</v>
      </c>
      <c r="R202" s="45" t="s">
        <v>26</v>
      </c>
      <c r="S202" s="42">
        <v>2028</v>
      </c>
      <c r="T202" s="46">
        <v>47118</v>
      </c>
      <c r="U202" s="47">
        <v>0.56000000000000005</v>
      </c>
      <c r="V202" s="47">
        <v>0.29999999999999993</v>
      </c>
      <c r="W202" s="48">
        <f t="shared" si="54"/>
        <v>0.86</v>
      </c>
      <c r="X202" s="47">
        <v>7.0000000000000007E-2</v>
      </c>
      <c r="Y202" s="47">
        <v>9.5000000000000001E-2</v>
      </c>
      <c r="Z202" s="47">
        <v>6.8000000000000005E-2</v>
      </c>
      <c r="AA202" s="53">
        <v>0.19800000000000001</v>
      </c>
      <c r="AB202" s="47">
        <v>0.14000000000000001</v>
      </c>
      <c r="AC202" s="51">
        <f t="shared" si="63"/>
        <v>220000</v>
      </c>
      <c r="AD202" s="46"/>
      <c r="AE202" s="40">
        <f t="shared" si="55"/>
        <v>0</v>
      </c>
      <c r="AF202" s="53">
        <f t="shared" si="56"/>
        <v>0</v>
      </c>
      <c r="AG202" s="55">
        <f t="shared" si="57"/>
        <v>38.5</v>
      </c>
      <c r="AH202" s="40">
        <v>175</v>
      </c>
      <c r="AI202" s="40">
        <v>300.13642564802183</v>
      </c>
      <c r="AJ202" s="40">
        <v>733</v>
      </c>
      <c r="AK202" s="40">
        <v>700</v>
      </c>
      <c r="AL202" s="55">
        <f t="shared" si="58"/>
        <v>154</v>
      </c>
      <c r="AM202" s="55">
        <f t="shared" si="59"/>
        <v>86.240000000000009</v>
      </c>
      <c r="AN202" s="49">
        <v>210095.49795361527</v>
      </c>
      <c r="AO202" s="57">
        <f t="shared" si="60"/>
        <v>52523.874488403817</v>
      </c>
      <c r="AP202" s="60">
        <f t="shared" si="61"/>
        <v>0.70000000000000007</v>
      </c>
      <c r="AQ202" s="61">
        <f t="shared" si="62"/>
        <v>2.8000000000000003</v>
      </c>
    </row>
    <row r="203" spans="1:43">
      <c r="A203" s="22" t="s">
        <v>522</v>
      </c>
      <c r="B203" s="22" t="s">
        <v>727</v>
      </c>
      <c r="C203" s="24" t="s">
        <v>362</v>
      </c>
      <c r="D203" s="25">
        <v>1</v>
      </c>
      <c r="E203" s="26" t="s">
        <v>769</v>
      </c>
      <c r="F203" s="20"/>
      <c r="G203" s="27">
        <v>2392</v>
      </c>
      <c r="H203" s="20"/>
      <c r="I203" s="20"/>
      <c r="J203" s="28">
        <v>321</v>
      </c>
      <c r="K203" s="29" t="s">
        <v>156</v>
      </c>
      <c r="L203" s="29" t="s">
        <v>169</v>
      </c>
      <c r="M203" s="28" t="s">
        <v>596</v>
      </c>
      <c r="N203" s="29" t="s">
        <v>614</v>
      </c>
      <c r="O203" s="29" t="s">
        <v>790</v>
      </c>
      <c r="P203" s="37">
        <v>0</v>
      </c>
      <c r="Q203" s="30" t="s">
        <v>25</v>
      </c>
      <c r="R203" s="30" t="s">
        <v>26</v>
      </c>
      <c r="S203" s="28">
        <v>2029</v>
      </c>
      <c r="T203" s="32">
        <v>47299</v>
      </c>
      <c r="U203" s="31">
        <v>0.53600000000000003</v>
      </c>
      <c r="V203" s="31">
        <v>0.32999999999999996</v>
      </c>
      <c r="W203" s="36">
        <f t="shared" si="54"/>
        <v>0.86599999999999999</v>
      </c>
      <c r="X203" s="31">
        <v>7.0000000000000007E-2</v>
      </c>
      <c r="Y203" s="31">
        <v>9.5000000000000001E-2</v>
      </c>
      <c r="Z203" s="31">
        <v>6.8000000000000005E-2</v>
      </c>
      <c r="AA203" s="52">
        <v>0.19800000000000001</v>
      </c>
      <c r="AB203" s="31">
        <v>0.13400000000000001</v>
      </c>
      <c r="AC203" s="50">
        <f t="shared" si="63"/>
        <v>107400</v>
      </c>
      <c r="AD203" s="32"/>
      <c r="AE203" s="20">
        <f t="shared" si="55"/>
        <v>0</v>
      </c>
      <c r="AF203" s="52">
        <f t="shared" si="56"/>
        <v>0</v>
      </c>
      <c r="AG203" s="54">
        <f t="shared" si="57"/>
        <v>18.795000000000002</v>
      </c>
      <c r="AH203" s="20">
        <v>175</v>
      </c>
      <c r="AI203" s="20">
        <v>300</v>
      </c>
      <c r="AJ203" s="20">
        <v>358</v>
      </c>
      <c r="AK203" s="20">
        <v>600</v>
      </c>
      <c r="AL203" s="54">
        <f t="shared" si="58"/>
        <v>64.44</v>
      </c>
      <c r="AM203" s="54">
        <f t="shared" si="59"/>
        <v>34.539839999999998</v>
      </c>
      <c r="AN203" s="33">
        <v>180167.59776536314</v>
      </c>
      <c r="AO203" s="56">
        <f t="shared" si="60"/>
        <v>52500</v>
      </c>
      <c r="AP203" s="58">
        <f t="shared" si="61"/>
        <v>0.67</v>
      </c>
      <c r="AQ203" s="59">
        <f t="shared" si="62"/>
        <v>2.2971428571428567</v>
      </c>
    </row>
    <row r="204" spans="1:43">
      <c r="A204" s="22" t="s">
        <v>523</v>
      </c>
      <c r="B204" s="22" t="s">
        <v>728</v>
      </c>
      <c r="C204" s="24" t="s">
        <v>361</v>
      </c>
      <c r="D204" s="38">
        <v>1</v>
      </c>
      <c r="E204" s="39" t="s">
        <v>770</v>
      </c>
      <c r="F204" s="40"/>
      <c r="G204" s="41">
        <v>2378</v>
      </c>
      <c r="H204" s="40"/>
      <c r="I204" s="40"/>
      <c r="J204" s="42">
        <v>322</v>
      </c>
      <c r="K204" s="43" t="s">
        <v>156</v>
      </c>
      <c r="L204" s="43" t="s">
        <v>170</v>
      </c>
      <c r="M204" s="42" t="s">
        <v>607</v>
      </c>
      <c r="N204" s="43" t="s">
        <v>615</v>
      </c>
      <c r="O204" s="43" t="s">
        <v>790</v>
      </c>
      <c r="P204" s="44">
        <v>0</v>
      </c>
      <c r="Q204" s="45" t="s">
        <v>25</v>
      </c>
      <c r="R204" s="45" t="s">
        <v>789</v>
      </c>
      <c r="S204" s="42">
        <v>2026</v>
      </c>
      <c r="T204" s="46">
        <v>46295</v>
      </c>
      <c r="U204" s="47">
        <v>0.53600000000000003</v>
      </c>
      <c r="V204" s="47">
        <v>0.32999999999999996</v>
      </c>
      <c r="W204" s="48">
        <f t="shared" si="54"/>
        <v>0.86599999999999999</v>
      </c>
      <c r="X204" s="47">
        <v>7.0000000000000007E-2</v>
      </c>
      <c r="Y204" s="47">
        <v>9.5000000000000001E-2</v>
      </c>
      <c r="Z204" s="47">
        <v>6.8000000000000005E-2</v>
      </c>
      <c r="AA204" s="53">
        <v>0.19800000000000001</v>
      </c>
      <c r="AB204" s="47">
        <v>0.13400000000000001</v>
      </c>
      <c r="AC204" s="51">
        <f t="shared" si="63"/>
        <v>167783.24</v>
      </c>
      <c r="AD204" s="46"/>
      <c r="AE204" s="40">
        <f t="shared" si="55"/>
        <v>0</v>
      </c>
      <c r="AF204" s="53">
        <f t="shared" si="56"/>
        <v>0</v>
      </c>
      <c r="AG204" s="55">
        <f t="shared" si="57"/>
        <v>29.362066999999996</v>
      </c>
      <c r="AH204" s="40">
        <v>175</v>
      </c>
      <c r="AI204" s="40">
        <v>191.97167048054919</v>
      </c>
      <c r="AJ204" s="40">
        <v>874</v>
      </c>
      <c r="AK204" s="40">
        <v>650</v>
      </c>
      <c r="AL204" s="55">
        <f t="shared" si="58"/>
        <v>109.059106</v>
      </c>
      <c r="AM204" s="55">
        <f t="shared" si="59"/>
        <v>58.455680816000005</v>
      </c>
      <c r="AN204" s="49">
        <v>124781.58581235698</v>
      </c>
      <c r="AO204" s="57">
        <f t="shared" si="60"/>
        <v>33595.042334096106</v>
      </c>
      <c r="AP204" s="60">
        <f t="shared" si="61"/>
        <v>0.67</v>
      </c>
      <c r="AQ204" s="61">
        <f t="shared" si="62"/>
        <v>2.4885714285714293</v>
      </c>
    </row>
    <row r="205" spans="1:43">
      <c r="A205" s="22" t="s">
        <v>524</v>
      </c>
      <c r="B205" s="22" t="s">
        <v>729</v>
      </c>
      <c r="C205" s="24" t="s">
        <v>361</v>
      </c>
      <c r="D205" s="25">
        <v>1</v>
      </c>
      <c r="E205" s="26" t="s">
        <v>770</v>
      </c>
      <c r="F205" s="20"/>
      <c r="G205" s="27">
        <v>2379</v>
      </c>
      <c r="H205" s="20"/>
      <c r="I205" s="20"/>
      <c r="J205" s="28">
        <v>323</v>
      </c>
      <c r="K205" s="29" t="s">
        <v>156</v>
      </c>
      <c r="L205" s="29" t="s">
        <v>170</v>
      </c>
      <c r="M205" s="28" t="s">
        <v>607</v>
      </c>
      <c r="N205" s="29" t="s">
        <v>616</v>
      </c>
      <c r="O205" s="29" t="s">
        <v>790</v>
      </c>
      <c r="P205" s="37">
        <v>0</v>
      </c>
      <c r="Q205" s="30" t="s">
        <v>25</v>
      </c>
      <c r="R205" s="30" t="s">
        <v>789</v>
      </c>
      <c r="S205" s="28">
        <v>2026</v>
      </c>
      <c r="T205" s="32">
        <v>46295</v>
      </c>
      <c r="U205" s="31">
        <v>0.52</v>
      </c>
      <c r="V205" s="31">
        <v>0.35</v>
      </c>
      <c r="W205" s="36">
        <f t="shared" si="54"/>
        <v>0.87</v>
      </c>
      <c r="X205" s="31">
        <v>7.0000000000000007E-2</v>
      </c>
      <c r="Y205" s="31">
        <v>9.5000000000000001E-2</v>
      </c>
      <c r="Z205" s="31">
        <v>6.8000000000000005E-2</v>
      </c>
      <c r="AA205" s="52">
        <v>0.19800000000000001</v>
      </c>
      <c r="AB205" s="31">
        <v>0.13</v>
      </c>
      <c r="AC205" s="50">
        <f t="shared" si="63"/>
        <v>93454.87</v>
      </c>
      <c r="AD205" s="32"/>
      <c r="AE205" s="20">
        <f t="shared" si="55"/>
        <v>0</v>
      </c>
      <c r="AF205" s="52">
        <f t="shared" si="56"/>
        <v>0</v>
      </c>
      <c r="AG205" s="54">
        <f t="shared" si="57"/>
        <v>16.354602249999999</v>
      </c>
      <c r="AH205" s="20">
        <v>175</v>
      </c>
      <c r="AI205" s="20">
        <v>178.69</v>
      </c>
      <c r="AJ205" s="20">
        <v>523</v>
      </c>
      <c r="AK205" s="20">
        <v>650</v>
      </c>
      <c r="AL205" s="54">
        <f t="shared" si="58"/>
        <v>60.745665500000001</v>
      </c>
      <c r="AM205" s="54">
        <f t="shared" si="59"/>
        <v>31.587746060000001</v>
      </c>
      <c r="AN205" s="33">
        <v>119878.85372848948</v>
      </c>
      <c r="AO205" s="56">
        <f t="shared" si="60"/>
        <v>31270.75</v>
      </c>
      <c r="AP205" s="58">
        <f t="shared" si="61"/>
        <v>0.65</v>
      </c>
      <c r="AQ205" s="59">
        <f t="shared" si="62"/>
        <v>2.4142857142857146</v>
      </c>
    </row>
    <row r="206" spans="1:43">
      <c r="A206" s="22" t="s">
        <v>525</v>
      </c>
      <c r="B206" s="22" t="s">
        <v>730</v>
      </c>
      <c r="C206" s="24" t="s">
        <v>26</v>
      </c>
      <c r="D206" s="38">
        <v>1</v>
      </c>
      <c r="E206" s="39" t="s">
        <v>770</v>
      </c>
      <c r="F206" s="40"/>
      <c r="G206" s="41">
        <v>2390</v>
      </c>
      <c r="H206" s="40"/>
      <c r="I206" s="40"/>
      <c r="J206" s="42">
        <v>324</v>
      </c>
      <c r="K206" s="43" t="s">
        <v>156</v>
      </c>
      <c r="L206" s="43" t="s">
        <v>171</v>
      </c>
      <c r="M206" s="42" t="s">
        <v>607</v>
      </c>
      <c r="N206" s="43" t="s">
        <v>610</v>
      </c>
      <c r="O206" s="43" t="s">
        <v>790</v>
      </c>
      <c r="P206" s="44">
        <v>0</v>
      </c>
      <c r="Q206" s="45" t="s">
        <v>25</v>
      </c>
      <c r="R206" s="45" t="s">
        <v>26</v>
      </c>
      <c r="S206" s="42">
        <v>2028</v>
      </c>
      <c r="T206" s="46">
        <v>47118</v>
      </c>
      <c r="U206" s="47">
        <v>0.59199999999999997</v>
      </c>
      <c r="V206" s="47">
        <v>0.26</v>
      </c>
      <c r="W206" s="48">
        <f t="shared" si="54"/>
        <v>0.85199999999999998</v>
      </c>
      <c r="X206" s="47">
        <v>7.0000000000000007E-2</v>
      </c>
      <c r="Y206" s="47">
        <v>9.5000000000000001E-2</v>
      </c>
      <c r="Z206" s="47">
        <v>6.8000000000000005E-2</v>
      </c>
      <c r="AA206" s="53">
        <v>0.19800000000000001</v>
      </c>
      <c r="AB206" s="47">
        <v>0.14800000000000002</v>
      </c>
      <c r="AC206" s="51">
        <f t="shared" si="63"/>
        <v>190000</v>
      </c>
      <c r="AD206" s="46"/>
      <c r="AE206" s="40">
        <f t="shared" si="55"/>
        <v>0</v>
      </c>
      <c r="AF206" s="53">
        <f t="shared" si="56"/>
        <v>0</v>
      </c>
      <c r="AG206" s="55">
        <f t="shared" si="57"/>
        <v>33.25</v>
      </c>
      <c r="AH206" s="40">
        <v>175</v>
      </c>
      <c r="AI206" s="40">
        <v>180.09478672985782</v>
      </c>
      <c r="AJ206" s="40">
        <v>1055</v>
      </c>
      <c r="AK206" s="40">
        <v>550</v>
      </c>
      <c r="AL206" s="55">
        <f t="shared" si="58"/>
        <v>104.5</v>
      </c>
      <c r="AM206" s="55">
        <f t="shared" si="59"/>
        <v>61.863999999999997</v>
      </c>
      <c r="AN206" s="49">
        <v>99052.132701421797</v>
      </c>
      <c r="AO206" s="57">
        <f t="shared" si="60"/>
        <v>31516.587677725118</v>
      </c>
      <c r="AP206" s="60">
        <f t="shared" si="61"/>
        <v>0.74</v>
      </c>
      <c r="AQ206" s="61">
        <f t="shared" si="62"/>
        <v>2.3257142857142856</v>
      </c>
    </row>
    <row r="207" spans="1:43">
      <c r="A207" s="22" t="s">
        <v>525</v>
      </c>
      <c r="B207" s="22" t="s">
        <v>731</v>
      </c>
      <c r="C207" s="24" t="s">
        <v>26</v>
      </c>
      <c r="D207" s="25">
        <v>1</v>
      </c>
      <c r="E207" s="26" t="s">
        <v>770</v>
      </c>
      <c r="F207" s="20"/>
      <c r="G207" s="27">
        <v>2390</v>
      </c>
      <c r="H207" s="20"/>
      <c r="I207" s="20"/>
      <c r="J207" s="28">
        <v>325</v>
      </c>
      <c r="K207" s="29" t="s">
        <v>156</v>
      </c>
      <c r="L207" s="29" t="s">
        <v>171</v>
      </c>
      <c r="M207" s="28" t="s">
        <v>607</v>
      </c>
      <c r="N207" s="29" t="s">
        <v>611</v>
      </c>
      <c r="O207" s="29" t="s">
        <v>790</v>
      </c>
      <c r="P207" s="37">
        <v>0</v>
      </c>
      <c r="Q207" s="30" t="s">
        <v>25</v>
      </c>
      <c r="R207" s="30" t="s">
        <v>26</v>
      </c>
      <c r="S207" s="28">
        <v>2029</v>
      </c>
      <c r="T207" s="32">
        <v>47483</v>
      </c>
      <c r="U207" s="31">
        <v>0.59199999999999997</v>
      </c>
      <c r="V207" s="31">
        <v>0.26</v>
      </c>
      <c r="W207" s="36">
        <f t="shared" si="54"/>
        <v>0.85199999999999998</v>
      </c>
      <c r="X207" s="31">
        <v>7.0000000000000007E-2</v>
      </c>
      <c r="Y207" s="31">
        <v>9.5000000000000001E-2</v>
      </c>
      <c r="Z207" s="31">
        <v>6.8000000000000005E-2</v>
      </c>
      <c r="AA207" s="52">
        <v>0.19800000000000001</v>
      </c>
      <c r="AB207" s="31">
        <v>0.14800000000000002</v>
      </c>
      <c r="AC207" s="50">
        <f t="shared" si="63"/>
        <v>190000</v>
      </c>
      <c r="AD207" s="32"/>
      <c r="AE207" s="20">
        <f t="shared" si="55"/>
        <v>0</v>
      </c>
      <c r="AF207" s="52">
        <f t="shared" si="56"/>
        <v>0</v>
      </c>
      <c r="AG207" s="54">
        <f t="shared" si="57"/>
        <v>33.250000000000007</v>
      </c>
      <c r="AH207" s="20">
        <v>175</v>
      </c>
      <c r="AI207" s="20">
        <v>179.92424242424244</v>
      </c>
      <c r="AJ207" s="20">
        <v>1056</v>
      </c>
      <c r="AK207" s="20">
        <v>550</v>
      </c>
      <c r="AL207" s="54">
        <f t="shared" si="58"/>
        <v>104.5</v>
      </c>
      <c r="AM207" s="54">
        <f t="shared" si="59"/>
        <v>61.863999999999997</v>
      </c>
      <c r="AN207" s="33">
        <v>98958.333333333343</v>
      </c>
      <c r="AO207" s="56">
        <f t="shared" si="60"/>
        <v>31486.742424242428</v>
      </c>
      <c r="AP207" s="58">
        <f t="shared" si="61"/>
        <v>0.74</v>
      </c>
      <c r="AQ207" s="59">
        <f t="shared" si="62"/>
        <v>2.3257142857142852</v>
      </c>
    </row>
    <row r="208" spans="1:43">
      <c r="A208" s="34" t="s">
        <v>573</v>
      </c>
      <c r="B208" s="22" t="s">
        <v>732</v>
      </c>
      <c r="C208" s="22"/>
      <c r="D208" s="38">
        <v>1</v>
      </c>
      <c r="E208" s="39" t="s">
        <v>770</v>
      </c>
      <c r="F208" s="40"/>
      <c r="G208" s="41">
        <v>2376</v>
      </c>
      <c r="H208" s="40"/>
      <c r="I208" s="40"/>
      <c r="J208" s="42"/>
      <c r="K208" s="43" t="s">
        <v>156</v>
      </c>
      <c r="L208" s="43" t="s">
        <v>162</v>
      </c>
      <c r="M208" s="42" t="s">
        <v>596</v>
      </c>
      <c r="N208" s="43" t="s">
        <v>24</v>
      </c>
      <c r="O208" s="43" t="s">
        <v>790</v>
      </c>
      <c r="P208" s="44">
        <v>0</v>
      </c>
      <c r="Q208" s="45" t="s">
        <v>78</v>
      </c>
      <c r="R208" s="45" t="s">
        <v>26</v>
      </c>
      <c r="S208" s="42">
        <v>2028</v>
      </c>
      <c r="T208" s="46"/>
      <c r="U208" s="47">
        <v>0.47200000000000003</v>
      </c>
      <c r="V208" s="47">
        <v>0.41</v>
      </c>
      <c r="W208" s="48">
        <f t="shared" si="54"/>
        <v>0.88200000000000001</v>
      </c>
      <c r="X208" s="47"/>
      <c r="Y208" s="47"/>
      <c r="Z208" s="47"/>
      <c r="AA208" s="53">
        <v>0.19800000000000001</v>
      </c>
      <c r="AB208" s="47">
        <v>0.11800000000000001</v>
      </c>
      <c r="AC208" s="51">
        <f t="shared" si="63"/>
        <v>43802</v>
      </c>
      <c r="AD208" s="46"/>
      <c r="AE208" s="40">
        <f t="shared" si="55"/>
        <v>0</v>
      </c>
      <c r="AF208" s="53">
        <f t="shared" si="56"/>
        <v>0</v>
      </c>
      <c r="AG208" s="55">
        <f t="shared" si="57"/>
        <v>15.3307</v>
      </c>
      <c r="AH208" s="40">
        <v>350</v>
      </c>
      <c r="AI208" s="40">
        <v>362</v>
      </c>
      <c r="AJ208" s="40">
        <v>121</v>
      </c>
      <c r="AK208" s="40">
        <v>2000</v>
      </c>
      <c r="AL208" s="55">
        <f t="shared" si="58"/>
        <v>87.603999999999999</v>
      </c>
      <c r="AM208" s="55">
        <f t="shared" si="59"/>
        <v>41.349088000000002</v>
      </c>
      <c r="AN208" s="49">
        <v>723899.17</v>
      </c>
      <c r="AO208" s="57">
        <f t="shared" si="60"/>
        <v>126700</v>
      </c>
      <c r="AP208" s="60">
        <f t="shared" si="61"/>
        <v>0.59000000000000008</v>
      </c>
      <c r="AQ208" s="61">
        <f t="shared" si="62"/>
        <v>3.3714285714285719</v>
      </c>
    </row>
    <row r="209" spans="1:43">
      <c r="A209" s="35" t="s">
        <v>574</v>
      </c>
      <c r="B209" s="22" t="s">
        <v>733</v>
      </c>
      <c r="C209" s="22"/>
      <c r="D209" s="25">
        <v>1</v>
      </c>
      <c r="E209" s="26" t="s">
        <v>770</v>
      </c>
      <c r="F209" s="20"/>
      <c r="G209" s="27">
        <v>2380</v>
      </c>
      <c r="H209" s="20"/>
      <c r="I209" s="20"/>
      <c r="J209" s="28"/>
      <c r="K209" s="29" t="s">
        <v>156</v>
      </c>
      <c r="L209" s="29" t="s">
        <v>165</v>
      </c>
      <c r="M209" s="28" t="s">
        <v>596</v>
      </c>
      <c r="N209" s="29" t="s">
        <v>24</v>
      </c>
      <c r="O209" s="29" t="s">
        <v>790</v>
      </c>
      <c r="P209" s="37">
        <v>0</v>
      </c>
      <c r="Q209" s="30" t="s">
        <v>25</v>
      </c>
      <c r="R209" s="30" t="s">
        <v>789</v>
      </c>
      <c r="S209" s="28">
        <v>2027</v>
      </c>
      <c r="T209" s="32"/>
      <c r="U209" s="31">
        <v>0.55200000000000005</v>
      </c>
      <c r="V209" s="31">
        <v>0.31</v>
      </c>
      <c r="W209" s="36">
        <f t="shared" si="54"/>
        <v>0.8620000000000001</v>
      </c>
      <c r="X209" s="31"/>
      <c r="Y209" s="31"/>
      <c r="Z209" s="31"/>
      <c r="AA209" s="52">
        <v>0.19800000000000001</v>
      </c>
      <c r="AB209" s="31"/>
      <c r="AC209" s="50">
        <f t="shared" si="63"/>
        <v>179396</v>
      </c>
      <c r="AD209" s="32"/>
      <c r="AE209" s="20">
        <f t="shared" si="55"/>
        <v>0</v>
      </c>
      <c r="AF209" s="52">
        <f t="shared" si="56"/>
        <v>0</v>
      </c>
      <c r="AG209" s="54">
        <f t="shared" si="57"/>
        <v>31.394300000000001</v>
      </c>
      <c r="AH209" s="20">
        <v>175</v>
      </c>
      <c r="AI209" s="20">
        <v>1043</v>
      </c>
      <c r="AJ209" s="20">
        <v>172</v>
      </c>
      <c r="AK209" s="20">
        <v>900</v>
      </c>
      <c r="AL209" s="54">
        <f t="shared" si="58"/>
        <v>161.4564</v>
      </c>
      <c r="AM209" s="54">
        <f t="shared" si="59"/>
        <v>89.123932800000006</v>
      </c>
      <c r="AN209" s="33">
        <v>938349.83720930223</v>
      </c>
      <c r="AO209" s="56">
        <f t="shared" si="60"/>
        <v>182525</v>
      </c>
      <c r="AP209" s="58">
        <f t="shared" si="61"/>
        <v>0.55200000000000005</v>
      </c>
      <c r="AQ209" s="59">
        <f t="shared" si="62"/>
        <v>2.838857142857143</v>
      </c>
    </row>
    <row r="210" spans="1:43">
      <c r="A210" s="22" t="s">
        <v>581</v>
      </c>
      <c r="B210" s="22" t="s">
        <v>734</v>
      </c>
      <c r="C210" s="22"/>
      <c r="D210" s="38">
        <v>1</v>
      </c>
      <c r="E210" s="39" t="s">
        <v>770</v>
      </c>
      <c r="F210" s="40"/>
      <c r="G210" s="41">
        <v>2393</v>
      </c>
      <c r="H210" s="40"/>
      <c r="I210" s="40"/>
      <c r="J210" s="42"/>
      <c r="K210" s="43" t="s">
        <v>156</v>
      </c>
      <c r="L210" s="43" t="s">
        <v>168</v>
      </c>
      <c r="M210" s="42" t="s">
        <v>596</v>
      </c>
      <c r="N210" s="43" t="s">
        <v>24</v>
      </c>
      <c r="O210" s="43" t="s">
        <v>790</v>
      </c>
      <c r="P210" s="44">
        <v>0</v>
      </c>
      <c r="Q210" s="45" t="s">
        <v>25</v>
      </c>
      <c r="R210" s="45" t="s">
        <v>26</v>
      </c>
      <c r="S210" s="42">
        <v>2029</v>
      </c>
      <c r="T210" s="46"/>
      <c r="U210" s="47">
        <v>0.56000000000000005</v>
      </c>
      <c r="V210" s="47">
        <v>0.3</v>
      </c>
      <c r="W210" s="48">
        <f t="shared" si="54"/>
        <v>0.8600000000000001</v>
      </c>
      <c r="X210" s="47"/>
      <c r="Y210" s="47"/>
      <c r="Z210" s="47"/>
      <c r="AA210" s="53">
        <v>0.19800000000000001</v>
      </c>
      <c r="AB210" s="47"/>
      <c r="AC210" s="51">
        <f t="shared" si="63"/>
        <v>159900</v>
      </c>
      <c r="AD210" s="46"/>
      <c r="AE210" s="40">
        <f t="shared" si="55"/>
        <v>0</v>
      </c>
      <c r="AF210" s="53">
        <f t="shared" si="56"/>
        <v>0</v>
      </c>
      <c r="AG210" s="55">
        <f t="shared" si="57"/>
        <v>27.982500000000002</v>
      </c>
      <c r="AH210" s="40">
        <v>175</v>
      </c>
      <c r="AI210" s="40">
        <v>300</v>
      </c>
      <c r="AJ210" s="40">
        <v>533</v>
      </c>
      <c r="AK210" s="40">
        <v>700</v>
      </c>
      <c r="AL210" s="55">
        <f t="shared" si="58"/>
        <v>111.93</v>
      </c>
      <c r="AM210" s="55">
        <f t="shared" si="59"/>
        <v>62.680800000000012</v>
      </c>
      <c r="AN210" s="49">
        <v>210000</v>
      </c>
      <c r="AO210" s="57">
        <f t="shared" si="60"/>
        <v>52500</v>
      </c>
      <c r="AP210" s="60">
        <f t="shared" si="61"/>
        <v>0.56000000000000005</v>
      </c>
      <c r="AQ210" s="61">
        <f t="shared" si="62"/>
        <v>2.2400000000000002</v>
      </c>
    </row>
    <row r="211" spans="1:43">
      <c r="A211" s="22" t="s">
        <v>445</v>
      </c>
      <c r="B211" s="22" t="s">
        <v>220</v>
      </c>
      <c r="C211" s="24" t="s">
        <v>345</v>
      </c>
      <c r="D211" s="25">
        <v>1</v>
      </c>
      <c r="E211" s="26" t="s">
        <v>770</v>
      </c>
      <c r="F211" s="20"/>
      <c r="G211" s="27" t="s">
        <v>783</v>
      </c>
      <c r="H211" s="20"/>
      <c r="I211" s="20"/>
      <c r="J211" s="28">
        <v>161</v>
      </c>
      <c r="K211" s="29" t="s">
        <v>56</v>
      </c>
      <c r="L211" s="29" t="s">
        <v>57</v>
      </c>
      <c r="M211" s="28" t="s">
        <v>589</v>
      </c>
      <c r="N211" s="29" t="s">
        <v>58</v>
      </c>
      <c r="O211" s="29" t="s">
        <v>790</v>
      </c>
      <c r="P211" s="37">
        <v>0</v>
      </c>
      <c r="Q211" s="30" t="s">
        <v>25</v>
      </c>
      <c r="R211" s="30" t="s">
        <v>26</v>
      </c>
      <c r="S211" s="28">
        <v>2027</v>
      </c>
      <c r="T211" s="32">
        <v>46752</v>
      </c>
      <c r="U211" s="31">
        <v>0.60550000000000004</v>
      </c>
      <c r="V211" s="31"/>
      <c r="W211" s="36">
        <f t="shared" si="54"/>
        <v>0.60550000000000004</v>
      </c>
      <c r="X211" s="31"/>
      <c r="Y211" s="31"/>
      <c r="Z211" s="31"/>
      <c r="AA211" s="52">
        <v>0.19800000000000001</v>
      </c>
      <c r="AB211" s="31">
        <v>0.39449999999999996</v>
      </c>
      <c r="AC211" s="50">
        <f t="shared" si="63"/>
        <v>233060</v>
      </c>
      <c r="AD211" s="32"/>
      <c r="AE211" s="20">
        <f t="shared" si="55"/>
        <v>0</v>
      </c>
      <c r="AF211" s="52">
        <f t="shared" si="56"/>
        <v>0</v>
      </c>
      <c r="AG211" s="54">
        <f t="shared" si="57"/>
        <v>29.831679999999999</v>
      </c>
      <c r="AH211" s="20">
        <v>128</v>
      </c>
      <c r="AI211" s="20">
        <v>275.15938606847698</v>
      </c>
      <c r="AJ211" s="20">
        <v>847</v>
      </c>
      <c r="AK211" s="20">
        <v>550</v>
      </c>
      <c r="AL211" s="54">
        <f t="shared" si="58"/>
        <v>128.18299999999999</v>
      </c>
      <c r="AM211" s="54">
        <f t="shared" si="59"/>
        <v>77.6148065</v>
      </c>
      <c r="AN211" s="33">
        <v>151250</v>
      </c>
      <c r="AO211" s="56">
        <f t="shared" si="60"/>
        <v>35220.401416765053</v>
      </c>
      <c r="AP211" s="58">
        <f t="shared" si="61"/>
        <v>1</v>
      </c>
      <c r="AQ211" s="59">
        <f t="shared" si="62"/>
        <v>4.296875</v>
      </c>
    </row>
    <row r="212" spans="1:43">
      <c r="A212" s="22" t="s">
        <v>445</v>
      </c>
      <c r="B212" s="22" t="s">
        <v>221</v>
      </c>
      <c r="C212" s="24" t="s">
        <v>345</v>
      </c>
      <c r="D212" s="38">
        <v>1</v>
      </c>
      <c r="E212" s="39" t="s">
        <v>770</v>
      </c>
      <c r="F212" s="40"/>
      <c r="G212" s="41" t="s">
        <v>783</v>
      </c>
      <c r="H212" s="40"/>
      <c r="I212" s="40"/>
      <c r="J212" s="42">
        <v>162</v>
      </c>
      <c r="K212" s="43" t="s">
        <v>56</v>
      </c>
      <c r="L212" s="43" t="s">
        <v>57</v>
      </c>
      <c r="M212" s="42" t="s">
        <v>589</v>
      </c>
      <c r="N212" s="43" t="s">
        <v>59</v>
      </c>
      <c r="O212" s="43" t="s">
        <v>790</v>
      </c>
      <c r="P212" s="44">
        <v>0</v>
      </c>
      <c r="Q212" s="45" t="s">
        <v>25</v>
      </c>
      <c r="R212" s="45" t="s">
        <v>789</v>
      </c>
      <c r="S212" s="42">
        <v>2026</v>
      </c>
      <c r="T212" s="46">
        <v>46203</v>
      </c>
      <c r="U212" s="47">
        <v>0.36959999999999998</v>
      </c>
      <c r="V212" s="47"/>
      <c r="W212" s="48">
        <f t="shared" ref="W212:W243" si="64">SUM(U212:V212)</f>
        <v>0.36959999999999998</v>
      </c>
      <c r="X212" s="47"/>
      <c r="Y212" s="47"/>
      <c r="Z212" s="47"/>
      <c r="AA212" s="53">
        <v>0.19800000000000001</v>
      </c>
      <c r="AB212" s="47">
        <v>0.63040000000000007</v>
      </c>
      <c r="AC212" s="51">
        <v>224990</v>
      </c>
      <c r="AD212" s="46"/>
      <c r="AE212" s="40">
        <f t="shared" ref="AE212:AE244" si="65">P212/10^6</f>
        <v>0</v>
      </c>
      <c r="AF212" s="53">
        <f t="shared" ref="AF212:AF243" si="66">IF(AL212=0,0,AE212/AL212)</f>
        <v>0</v>
      </c>
      <c r="AG212" s="55">
        <f t="shared" ref="AG212:AG243" si="67">(AH212*AI212*AJ212)/10^6</f>
        <v>28.798748159999999</v>
      </c>
      <c r="AH212" s="40">
        <v>128</v>
      </c>
      <c r="AI212" s="40">
        <v>290.68503875968992</v>
      </c>
      <c r="AJ212" s="40">
        <v>774</v>
      </c>
      <c r="AK212" s="40">
        <v>550</v>
      </c>
      <c r="AL212" s="55">
        <f t="shared" ref="AL212:AL243" si="68">(AK212*AJ212*AI212)/10^6</f>
        <v>123.744621</v>
      </c>
      <c r="AM212" s="55">
        <f t="shared" ref="AM212:AM243" si="69">AL212*U212</f>
        <v>45.736011921599996</v>
      </c>
      <c r="AN212" s="49">
        <v>151250</v>
      </c>
      <c r="AO212" s="57">
        <f t="shared" ref="AO212:AO244" si="70">AH212*AI212</f>
        <v>37207.684961240309</v>
      </c>
      <c r="AP212" s="60">
        <f t="shared" ref="AP212:AP243" si="71">U212+AB212</f>
        <v>1</v>
      </c>
      <c r="AQ212" s="61">
        <f t="shared" ref="AQ212:AQ243" si="72">AL212*AP212/(AG212+AE212)</f>
        <v>4.296875</v>
      </c>
    </row>
    <row r="213" spans="1:43">
      <c r="A213" s="22" t="s">
        <v>445</v>
      </c>
      <c r="B213" s="22" t="s">
        <v>222</v>
      </c>
      <c r="C213" s="24" t="s">
        <v>345</v>
      </c>
      <c r="D213" s="25">
        <v>1</v>
      </c>
      <c r="E213" s="26" t="s">
        <v>770</v>
      </c>
      <c r="F213" s="20"/>
      <c r="G213" s="27" t="s">
        <v>783</v>
      </c>
      <c r="H213" s="20"/>
      <c r="I213" s="20"/>
      <c r="J213" s="28">
        <v>163</v>
      </c>
      <c r="K213" s="29" t="s">
        <v>56</v>
      </c>
      <c r="L213" s="29" t="s">
        <v>57</v>
      </c>
      <c r="M213" s="28" t="s">
        <v>589</v>
      </c>
      <c r="N213" s="29" t="s">
        <v>60</v>
      </c>
      <c r="O213" s="29" t="s">
        <v>790</v>
      </c>
      <c r="P213" s="37">
        <v>0</v>
      </c>
      <c r="Q213" s="30" t="s">
        <v>25</v>
      </c>
      <c r="R213" s="30" t="s">
        <v>26</v>
      </c>
      <c r="S213" s="28">
        <v>2028</v>
      </c>
      <c r="T213" s="32">
        <v>47118</v>
      </c>
      <c r="U213" s="31">
        <v>0.36959999999999998</v>
      </c>
      <c r="V213" s="31"/>
      <c r="W213" s="36">
        <f t="shared" si="64"/>
        <v>0.36959999999999998</v>
      </c>
      <c r="X213" s="31"/>
      <c r="Y213" s="31"/>
      <c r="Z213" s="31"/>
      <c r="AA213" s="52">
        <v>0.19800000000000001</v>
      </c>
      <c r="AB213" s="31">
        <v>0.63040000000000007</v>
      </c>
      <c r="AC213" s="50">
        <f t="shared" ref="AC213:AC233" si="73">AI213*AJ213</f>
        <v>252878</v>
      </c>
      <c r="AD213" s="32"/>
      <c r="AE213" s="20">
        <f t="shared" si="65"/>
        <v>0</v>
      </c>
      <c r="AF213" s="52">
        <f t="shared" si="66"/>
        <v>0</v>
      </c>
      <c r="AG213" s="54">
        <f t="shared" si="67"/>
        <v>32.368383999999999</v>
      </c>
      <c r="AH213" s="20">
        <v>128</v>
      </c>
      <c r="AI213" s="20">
        <v>275</v>
      </c>
      <c r="AJ213" s="20">
        <v>919.55636363636359</v>
      </c>
      <c r="AK213" s="20">
        <v>550</v>
      </c>
      <c r="AL213" s="54">
        <f t="shared" si="68"/>
        <v>139.0829</v>
      </c>
      <c r="AM213" s="54">
        <f t="shared" si="69"/>
        <v>51.405039839999993</v>
      </c>
      <c r="AN213" s="33">
        <v>151250</v>
      </c>
      <c r="AO213" s="56">
        <f t="shared" si="70"/>
        <v>35200</v>
      </c>
      <c r="AP213" s="58">
        <f t="shared" si="71"/>
        <v>1</v>
      </c>
      <c r="AQ213" s="59">
        <f t="shared" si="72"/>
        <v>4.296875</v>
      </c>
    </row>
    <row r="214" spans="1:43">
      <c r="A214" s="22" t="s">
        <v>445</v>
      </c>
      <c r="B214" s="22" t="s">
        <v>223</v>
      </c>
      <c r="C214" s="24" t="s">
        <v>344</v>
      </c>
      <c r="D214" s="38">
        <v>1</v>
      </c>
      <c r="E214" s="39" t="s">
        <v>770</v>
      </c>
      <c r="F214" s="40"/>
      <c r="G214" s="41" t="s">
        <v>783</v>
      </c>
      <c r="H214" s="40"/>
      <c r="I214" s="40"/>
      <c r="J214" s="42">
        <v>164</v>
      </c>
      <c r="K214" s="43" t="s">
        <v>56</v>
      </c>
      <c r="L214" s="43" t="s">
        <v>57</v>
      </c>
      <c r="M214" s="42" t="s">
        <v>589</v>
      </c>
      <c r="N214" s="43" t="s">
        <v>61</v>
      </c>
      <c r="O214" s="43" t="s">
        <v>786</v>
      </c>
      <c r="P214" s="44">
        <v>2781250</v>
      </c>
      <c r="Q214" s="45" t="s">
        <v>25</v>
      </c>
      <c r="R214" s="45" t="s">
        <v>26</v>
      </c>
      <c r="S214" s="42">
        <v>2030</v>
      </c>
      <c r="T214" s="46">
        <v>47848</v>
      </c>
      <c r="U214" s="47">
        <v>0.36959999999999998</v>
      </c>
      <c r="V214" s="47"/>
      <c r="W214" s="48">
        <f t="shared" si="64"/>
        <v>0.36959999999999998</v>
      </c>
      <c r="X214" s="47"/>
      <c r="Y214" s="47"/>
      <c r="Z214" s="47"/>
      <c r="AA214" s="53">
        <v>0.19800000000000001</v>
      </c>
      <c r="AB214" s="47">
        <v>0.63040000000000007</v>
      </c>
      <c r="AC214" s="51">
        <f t="shared" si="73"/>
        <v>220600.51066666664</v>
      </c>
      <c r="AD214" s="46"/>
      <c r="AE214" s="40">
        <f t="shared" si="65"/>
        <v>2.78125</v>
      </c>
      <c r="AF214" s="53">
        <f t="shared" si="66"/>
        <v>2.3787984413886017E-2</v>
      </c>
      <c r="AG214" s="55">
        <f t="shared" si="67"/>
        <v>28.23686536533333</v>
      </c>
      <c r="AH214" s="40">
        <v>128</v>
      </c>
      <c r="AI214" s="40">
        <v>275.75063833333331</v>
      </c>
      <c r="AJ214" s="40">
        <v>800</v>
      </c>
      <c r="AK214" s="40">
        <v>530</v>
      </c>
      <c r="AL214" s="55">
        <f t="shared" si="68"/>
        <v>116.91827065333332</v>
      </c>
      <c r="AM214" s="55">
        <f t="shared" si="69"/>
        <v>43.212992833471993</v>
      </c>
      <c r="AN214" s="49">
        <v>146148</v>
      </c>
      <c r="AO214" s="57">
        <f t="shared" si="70"/>
        <v>35296.081706666664</v>
      </c>
      <c r="AP214" s="60">
        <f t="shared" si="71"/>
        <v>1</v>
      </c>
      <c r="AQ214" s="61">
        <f t="shared" si="72"/>
        <v>3.7693544329261308</v>
      </c>
    </row>
    <row r="215" spans="1:43">
      <c r="A215" s="22" t="s">
        <v>445</v>
      </c>
      <c r="B215" s="22" t="s">
        <v>224</v>
      </c>
      <c r="C215" s="24" t="s">
        <v>344</v>
      </c>
      <c r="D215" s="25">
        <v>1</v>
      </c>
      <c r="E215" s="26" t="s">
        <v>770</v>
      </c>
      <c r="F215" s="20"/>
      <c r="G215" s="27" t="s">
        <v>783</v>
      </c>
      <c r="H215" s="20"/>
      <c r="I215" s="20"/>
      <c r="J215" s="28">
        <v>165</v>
      </c>
      <c r="K215" s="29" t="s">
        <v>56</v>
      </c>
      <c r="L215" s="29" t="s">
        <v>57</v>
      </c>
      <c r="M215" s="28" t="s">
        <v>589</v>
      </c>
      <c r="N215" s="29" t="s">
        <v>62</v>
      </c>
      <c r="O215" s="29" t="s">
        <v>786</v>
      </c>
      <c r="P215" s="37">
        <v>2781250</v>
      </c>
      <c r="Q215" s="30" t="s">
        <v>25</v>
      </c>
      <c r="R215" s="30" t="s">
        <v>26</v>
      </c>
      <c r="S215" s="28">
        <v>2031</v>
      </c>
      <c r="T215" s="32">
        <v>48213</v>
      </c>
      <c r="U215" s="31">
        <v>0.36959999999999998</v>
      </c>
      <c r="V215" s="31"/>
      <c r="W215" s="36">
        <f t="shared" si="64"/>
        <v>0.36959999999999998</v>
      </c>
      <c r="X215" s="31"/>
      <c r="Y215" s="31"/>
      <c r="Z215" s="31"/>
      <c r="AA215" s="52">
        <v>0.19800000000000001</v>
      </c>
      <c r="AB215" s="31">
        <v>0.63040000000000007</v>
      </c>
      <c r="AC215" s="50">
        <f t="shared" si="73"/>
        <v>220600.51066666664</v>
      </c>
      <c r="AD215" s="32"/>
      <c r="AE215" s="20">
        <f t="shared" si="65"/>
        <v>2.78125</v>
      </c>
      <c r="AF215" s="52">
        <f t="shared" si="66"/>
        <v>2.2922966798835615E-2</v>
      </c>
      <c r="AG215" s="54">
        <f t="shared" si="67"/>
        <v>28.23686536533333</v>
      </c>
      <c r="AH215" s="20">
        <v>128</v>
      </c>
      <c r="AI215" s="20">
        <v>275.75063833333331</v>
      </c>
      <c r="AJ215" s="20">
        <v>800</v>
      </c>
      <c r="AK215" s="20">
        <v>550</v>
      </c>
      <c r="AL215" s="54">
        <f t="shared" si="68"/>
        <v>121.33028086666666</v>
      </c>
      <c r="AM215" s="54">
        <f t="shared" si="69"/>
        <v>44.843671808319996</v>
      </c>
      <c r="AN215" s="33">
        <v>151250</v>
      </c>
      <c r="AO215" s="56">
        <f t="shared" si="70"/>
        <v>35296.081706666664</v>
      </c>
      <c r="AP215" s="58">
        <f t="shared" si="71"/>
        <v>1</v>
      </c>
      <c r="AQ215" s="59">
        <f t="shared" si="72"/>
        <v>3.9115942228478717</v>
      </c>
    </row>
    <row r="216" spans="1:43">
      <c r="A216" s="22" t="s">
        <v>445</v>
      </c>
      <c r="B216" s="22" t="s">
        <v>225</v>
      </c>
      <c r="C216" s="24" t="s">
        <v>344</v>
      </c>
      <c r="D216" s="38">
        <v>1</v>
      </c>
      <c r="E216" s="39" t="s">
        <v>770</v>
      </c>
      <c r="F216" s="40"/>
      <c r="G216" s="41" t="s">
        <v>783</v>
      </c>
      <c r="H216" s="40"/>
      <c r="I216" s="40"/>
      <c r="J216" s="42">
        <v>166</v>
      </c>
      <c r="K216" s="43" t="s">
        <v>56</v>
      </c>
      <c r="L216" s="43" t="s">
        <v>57</v>
      </c>
      <c r="M216" s="42" t="s">
        <v>589</v>
      </c>
      <c r="N216" s="43" t="s">
        <v>63</v>
      </c>
      <c r="O216" s="43" t="s">
        <v>786</v>
      </c>
      <c r="P216" s="44">
        <v>2781250</v>
      </c>
      <c r="Q216" s="45" t="s">
        <v>25</v>
      </c>
      <c r="R216" s="45" t="s">
        <v>26</v>
      </c>
      <c r="S216" s="42">
        <v>2032</v>
      </c>
      <c r="T216" s="46">
        <v>48579</v>
      </c>
      <c r="U216" s="47">
        <v>0.36959999999999998</v>
      </c>
      <c r="V216" s="47"/>
      <c r="W216" s="48">
        <f t="shared" si="64"/>
        <v>0.36959999999999998</v>
      </c>
      <c r="X216" s="47"/>
      <c r="Y216" s="47"/>
      <c r="Z216" s="47"/>
      <c r="AA216" s="53">
        <v>0.19800000000000001</v>
      </c>
      <c r="AB216" s="47">
        <v>0.63040000000000007</v>
      </c>
      <c r="AC216" s="51">
        <f t="shared" si="73"/>
        <v>220600.51066666664</v>
      </c>
      <c r="AD216" s="46"/>
      <c r="AE216" s="40">
        <f t="shared" si="65"/>
        <v>2.78125</v>
      </c>
      <c r="AF216" s="53">
        <f t="shared" si="66"/>
        <v>2.2922966798835615E-2</v>
      </c>
      <c r="AG216" s="55">
        <f t="shared" si="67"/>
        <v>28.23686536533333</v>
      </c>
      <c r="AH216" s="40">
        <v>128</v>
      </c>
      <c r="AI216" s="40">
        <v>275.75063833333331</v>
      </c>
      <c r="AJ216" s="40">
        <v>800</v>
      </c>
      <c r="AK216" s="40">
        <v>550</v>
      </c>
      <c r="AL216" s="55">
        <f t="shared" si="68"/>
        <v>121.33028086666666</v>
      </c>
      <c r="AM216" s="55">
        <f t="shared" si="69"/>
        <v>44.843671808319996</v>
      </c>
      <c r="AN216" s="49">
        <v>151250</v>
      </c>
      <c r="AO216" s="57">
        <f t="shared" si="70"/>
        <v>35296.081706666664</v>
      </c>
      <c r="AP216" s="60">
        <f t="shared" si="71"/>
        <v>1</v>
      </c>
      <c r="AQ216" s="61">
        <f t="shared" si="72"/>
        <v>3.9115942228478717</v>
      </c>
    </row>
    <row r="217" spans="1:43">
      <c r="A217" s="22" t="s">
        <v>445</v>
      </c>
      <c r="B217" s="22" t="s">
        <v>226</v>
      </c>
      <c r="C217" s="24" t="s">
        <v>344</v>
      </c>
      <c r="D217" s="25">
        <v>1</v>
      </c>
      <c r="E217" s="26" t="s">
        <v>770</v>
      </c>
      <c r="F217" s="20"/>
      <c r="G217" s="27" t="s">
        <v>783</v>
      </c>
      <c r="H217" s="20"/>
      <c r="I217" s="20"/>
      <c r="J217" s="28">
        <v>167</v>
      </c>
      <c r="K217" s="29" t="s">
        <v>56</v>
      </c>
      <c r="L217" s="29" t="s">
        <v>57</v>
      </c>
      <c r="M217" s="28" t="s">
        <v>589</v>
      </c>
      <c r="N217" s="29" t="s">
        <v>64</v>
      </c>
      <c r="O217" s="29" t="s">
        <v>786</v>
      </c>
      <c r="P217" s="37">
        <v>2781250</v>
      </c>
      <c r="Q217" s="30" t="s">
        <v>25</v>
      </c>
      <c r="R217" s="30" t="s">
        <v>26</v>
      </c>
      <c r="S217" s="28">
        <v>2033</v>
      </c>
      <c r="T217" s="32">
        <v>48944</v>
      </c>
      <c r="U217" s="31">
        <v>0.36959999999999998</v>
      </c>
      <c r="V217" s="31"/>
      <c r="W217" s="36">
        <f t="shared" si="64"/>
        <v>0.36959999999999998</v>
      </c>
      <c r="X217" s="31"/>
      <c r="Y217" s="31"/>
      <c r="Z217" s="31"/>
      <c r="AA217" s="52">
        <v>0.19800000000000001</v>
      </c>
      <c r="AB217" s="31">
        <v>0.63040000000000007</v>
      </c>
      <c r="AC217" s="50">
        <f t="shared" si="73"/>
        <v>220600.51066666664</v>
      </c>
      <c r="AD217" s="32"/>
      <c r="AE217" s="20">
        <f t="shared" si="65"/>
        <v>2.78125</v>
      </c>
      <c r="AF217" s="52">
        <f t="shared" si="66"/>
        <v>2.2922966798835615E-2</v>
      </c>
      <c r="AG217" s="54">
        <f t="shared" si="67"/>
        <v>28.23686536533333</v>
      </c>
      <c r="AH217" s="20">
        <v>128</v>
      </c>
      <c r="AI217" s="20">
        <v>275.75063833333331</v>
      </c>
      <c r="AJ217" s="20">
        <v>800</v>
      </c>
      <c r="AK217" s="20">
        <v>550</v>
      </c>
      <c r="AL217" s="54">
        <f t="shared" si="68"/>
        <v>121.33028086666666</v>
      </c>
      <c r="AM217" s="54">
        <f t="shared" si="69"/>
        <v>44.843671808319996</v>
      </c>
      <c r="AN217" s="33">
        <v>151250</v>
      </c>
      <c r="AO217" s="56">
        <f t="shared" si="70"/>
        <v>35296.081706666664</v>
      </c>
      <c r="AP217" s="58">
        <f t="shared" si="71"/>
        <v>1</v>
      </c>
      <c r="AQ217" s="59">
        <f t="shared" si="72"/>
        <v>3.9115942228478717</v>
      </c>
    </row>
    <row r="218" spans="1:43" s="18" customFormat="1">
      <c r="A218" s="22" t="s">
        <v>445</v>
      </c>
      <c r="B218" s="22" t="s">
        <v>227</v>
      </c>
      <c r="C218" s="24" t="s">
        <v>344</v>
      </c>
      <c r="D218" s="38">
        <v>1</v>
      </c>
      <c r="E218" s="39" t="s">
        <v>770</v>
      </c>
      <c r="F218" s="40"/>
      <c r="G218" s="41" t="s">
        <v>783</v>
      </c>
      <c r="H218" s="40"/>
      <c r="I218" s="40"/>
      <c r="J218" s="42">
        <v>168</v>
      </c>
      <c r="K218" s="43" t="s">
        <v>56</v>
      </c>
      <c r="L218" s="43" t="s">
        <v>57</v>
      </c>
      <c r="M218" s="42" t="s">
        <v>589</v>
      </c>
      <c r="N218" s="43" t="s">
        <v>65</v>
      </c>
      <c r="O218" s="43" t="s">
        <v>786</v>
      </c>
      <c r="P218" s="44">
        <v>2781250</v>
      </c>
      <c r="Q218" s="45" t="s">
        <v>25</v>
      </c>
      <c r="R218" s="45" t="s">
        <v>26</v>
      </c>
      <c r="S218" s="42">
        <v>2034</v>
      </c>
      <c r="T218" s="46">
        <v>49309</v>
      </c>
      <c r="U218" s="47">
        <v>0.36959999999999998</v>
      </c>
      <c r="V218" s="47"/>
      <c r="W218" s="48">
        <f t="shared" si="64"/>
        <v>0.36959999999999998</v>
      </c>
      <c r="X218" s="47"/>
      <c r="Y218" s="47"/>
      <c r="Z218" s="47"/>
      <c r="AA218" s="53">
        <v>0.19800000000000001</v>
      </c>
      <c r="AB218" s="47">
        <v>0.63040000000000007</v>
      </c>
      <c r="AC218" s="51">
        <f t="shared" si="73"/>
        <v>220600.51066666664</v>
      </c>
      <c r="AD218" s="46"/>
      <c r="AE218" s="40">
        <f t="shared" si="65"/>
        <v>2.78125</v>
      </c>
      <c r="AF218" s="53">
        <f t="shared" si="66"/>
        <v>2.2922966798835615E-2</v>
      </c>
      <c r="AG218" s="55">
        <f t="shared" si="67"/>
        <v>28.23686536533333</v>
      </c>
      <c r="AH218" s="40">
        <v>128</v>
      </c>
      <c r="AI218" s="40">
        <v>275.75063833333331</v>
      </c>
      <c r="AJ218" s="40">
        <v>800</v>
      </c>
      <c r="AK218" s="40">
        <v>550</v>
      </c>
      <c r="AL218" s="55">
        <f t="shared" si="68"/>
        <v>121.33028086666666</v>
      </c>
      <c r="AM218" s="55">
        <f t="shared" si="69"/>
        <v>44.843671808319996</v>
      </c>
      <c r="AN218" s="49">
        <v>151250</v>
      </c>
      <c r="AO218" s="57">
        <f t="shared" si="70"/>
        <v>35296.081706666664</v>
      </c>
      <c r="AP218" s="60">
        <f t="shared" si="71"/>
        <v>1</v>
      </c>
      <c r="AQ218" s="61">
        <f t="shared" si="72"/>
        <v>3.9115942228478717</v>
      </c>
    </row>
    <row r="219" spans="1:43">
      <c r="A219" s="22" t="s">
        <v>445</v>
      </c>
      <c r="B219" s="22" t="s">
        <v>228</v>
      </c>
      <c r="C219" s="24" t="s">
        <v>344</v>
      </c>
      <c r="D219" s="25">
        <v>1</v>
      </c>
      <c r="E219" s="26" t="s">
        <v>770</v>
      </c>
      <c r="F219" s="20"/>
      <c r="G219" s="27" t="s">
        <v>783</v>
      </c>
      <c r="H219" s="20"/>
      <c r="I219" s="20"/>
      <c r="J219" s="28">
        <v>169</v>
      </c>
      <c r="K219" s="29" t="s">
        <v>56</v>
      </c>
      <c r="L219" s="29" t="s">
        <v>57</v>
      </c>
      <c r="M219" s="28" t="s">
        <v>589</v>
      </c>
      <c r="N219" s="29" t="s">
        <v>66</v>
      </c>
      <c r="O219" s="29" t="s">
        <v>786</v>
      </c>
      <c r="P219" s="37">
        <v>2781250</v>
      </c>
      <c r="Q219" s="30" t="s">
        <v>25</v>
      </c>
      <c r="R219" s="30" t="s">
        <v>26</v>
      </c>
      <c r="S219" s="28">
        <v>2035</v>
      </c>
      <c r="T219" s="32">
        <v>49674</v>
      </c>
      <c r="U219" s="31">
        <v>0.36959999999999998</v>
      </c>
      <c r="V219" s="31"/>
      <c r="W219" s="36">
        <f t="shared" si="64"/>
        <v>0.36959999999999998</v>
      </c>
      <c r="X219" s="31"/>
      <c r="Y219" s="31"/>
      <c r="Z219" s="31"/>
      <c r="AA219" s="52">
        <v>0.19800000000000001</v>
      </c>
      <c r="AB219" s="31">
        <v>0.63040000000000007</v>
      </c>
      <c r="AC219" s="50">
        <f t="shared" si="73"/>
        <v>220600.51066666664</v>
      </c>
      <c r="AD219" s="32"/>
      <c r="AE219" s="20">
        <f t="shared" si="65"/>
        <v>2.78125</v>
      </c>
      <c r="AF219" s="52">
        <f t="shared" si="66"/>
        <v>2.2922966798835615E-2</v>
      </c>
      <c r="AG219" s="54">
        <f t="shared" si="67"/>
        <v>28.23686536533333</v>
      </c>
      <c r="AH219" s="20">
        <v>128</v>
      </c>
      <c r="AI219" s="20">
        <v>275.75063833333331</v>
      </c>
      <c r="AJ219" s="20">
        <v>800</v>
      </c>
      <c r="AK219" s="20">
        <v>550</v>
      </c>
      <c r="AL219" s="54">
        <f t="shared" si="68"/>
        <v>121.33028086666666</v>
      </c>
      <c r="AM219" s="54">
        <f t="shared" si="69"/>
        <v>44.843671808319996</v>
      </c>
      <c r="AN219" s="33">
        <v>151250</v>
      </c>
      <c r="AO219" s="56">
        <f t="shared" si="70"/>
        <v>35296.081706666664</v>
      </c>
      <c r="AP219" s="58">
        <f t="shared" si="71"/>
        <v>1</v>
      </c>
      <c r="AQ219" s="59">
        <f t="shared" si="72"/>
        <v>3.9115942228478717</v>
      </c>
    </row>
    <row r="220" spans="1:43">
      <c r="A220" s="22" t="s">
        <v>445</v>
      </c>
      <c r="B220" s="22" t="s">
        <v>229</v>
      </c>
      <c r="C220" s="24" t="s">
        <v>344</v>
      </c>
      <c r="D220" s="38">
        <v>1</v>
      </c>
      <c r="E220" s="39" t="s">
        <v>770</v>
      </c>
      <c r="F220" s="40"/>
      <c r="G220" s="41" t="s">
        <v>783</v>
      </c>
      <c r="H220" s="40"/>
      <c r="I220" s="40"/>
      <c r="J220" s="42">
        <v>170</v>
      </c>
      <c r="K220" s="43" t="s">
        <v>56</v>
      </c>
      <c r="L220" s="43" t="s">
        <v>57</v>
      </c>
      <c r="M220" s="42" t="s">
        <v>589</v>
      </c>
      <c r="N220" s="43" t="s">
        <v>67</v>
      </c>
      <c r="O220" s="43" t="s">
        <v>786</v>
      </c>
      <c r="P220" s="44">
        <v>2781250</v>
      </c>
      <c r="Q220" s="45" t="s">
        <v>25</v>
      </c>
      <c r="R220" s="45" t="s">
        <v>26</v>
      </c>
      <c r="S220" s="42">
        <v>2036</v>
      </c>
      <c r="T220" s="46">
        <v>50040</v>
      </c>
      <c r="U220" s="47">
        <v>0.36959999999999998</v>
      </c>
      <c r="V220" s="47"/>
      <c r="W220" s="48">
        <f t="shared" si="64"/>
        <v>0.36959999999999998</v>
      </c>
      <c r="X220" s="47"/>
      <c r="Y220" s="47"/>
      <c r="Z220" s="47"/>
      <c r="AA220" s="53">
        <v>0.19800000000000001</v>
      </c>
      <c r="AB220" s="47">
        <v>0.63040000000000007</v>
      </c>
      <c r="AC220" s="51">
        <f t="shared" si="73"/>
        <v>220600.51066666664</v>
      </c>
      <c r="AD220" s="46"/>
      <c r="AE220" s="40">
        <f t="shared" si="65"/>
        <v>2.78125</v>
      </c>
      <c r="AF220" s="53">
        <f t="shared" si="66"/>
        <v>2.2922966798835615E-2</v>
      </c>
      <c r="AG220" s="55">
        <f t="shared" si="67"/>
        <v>28.23686536533333</v>
      </c>
      <c r="AH220" s="40">
        <v>128</v>
      </c>
      <c r="AI220" s="40">
        <v>275.75063833333331</v>
      </c>
      <c r="AJ220" s="40">
        <v>800</v>
      </c>
      <c r="AK220" s="40">
        <v>550</v>
      </c>
      <c r="AL220" s="55">
        <f t="shared" si="68"/>
        <v>121.33028086666666</v>
      </c>
      <c r="AM220" s="55">
        <f t="shared" si="69"/>
        <v>44.843671808319996</v>
      </c>
      <c r="AN220" s="49">
        <v>151250</v>
      </c>
      <c r="AO220" s="57">
        <f t="shared" si="70"/>
        <v>35296.081706666664</v>
      </c>
      <c r="AP220" s="60">
        <f t="shared" si="71"/>
        <v>1</v>
      </c>
      <c r="AQ220" s="61">
        <f t="shared" si="72"/>
        <v>3.9115942228478717</v>
      </c>
    </row>
    <row r="221" spans="1:43">
      <c r="A221" s="22" t="s">
        <v>445</v>
      </c>
      <c r="B221" s="22" t="s">
        <v>230</v>
      </c>
      <c r="C221" s="24" t="s">
        <v>344</v>
      </c>
      <c r="D221" s="25">
        <v>1</v>
      </c>
      <c r="E221" s="26" t="s">
        <v>770</v>
      </c>
      <c r="F221" s="20"/>
      <c r="G221" s="27" t="s">
        <v>783</v>
      </c>
      <c r="H221" s="20"/>
      <c r="I221" s="20"/>
      <c r="J221" s="28">
        <v>171</v>
      </c>
      <c r="K221" s="29" t="s">
        <v>56</v>
      </c>
      <c r="L221" s="29" t="s">
        <v>57</v>
      </c>
      <c r="M221" s="28" t="s">
        <v>589</v>
      </c>
      <c r="N221" s="29" t="s">
        <v>68</v>
      </c>
      <c r="O221" s="29" t="s">
        <v>786</v>
      </c>
      <c r="P221" s="37">
        <v>2781250</v>
      </c>
      <c r="Q221" s="30" t="s">
        <v>25</v>
      </c>
      <c r="R221" s="30" t="s">
        <v>26</v>
      </c>
      <c r="S221" s="28">
        <v>2037</v>
      </c>
      <c r="T221" s="32">
        <v>50405</v>
      </c>
      <c r="U221" s="31">
        <v>0.36959999999999998</v>
      </c>
      <c r="V221" s="31"/>
      <c r="W221" s="36">
        <f t="shared" si="64"/>
        <v>0.36959999999999998</v>
      </c>
      <c r="X221" s="31"/>
      <c r="Y221" s="31"/>
      <c r="Z221" s="31"/>
      <c r="AA221" s="52">
        <v>0.19800000000000001</v>
      </c>
      <c r="AB221" s="31">
        <v>0.63040000000000007</v>
      </c>
      <c r="AC221" s="50">
        <f t="shared" si="73"/>
        <v>220600.51066666664</v>
      </c>
      <c r="AD221" s="32"/>
      <c r="AE221" s="20">
        <f t="shared" si="65"/>
        <v>2.78125</v>
      </c>
      <c r="AF221" s="52">
        <f t="shared" si="66"/>
        <v>2.2922966798835615E-2</v>
      </c>
      <c r="AG221" s="54">
        <f t="shared" si="67"/>
        <v>28.23686536533333</v>
      </c>
      <c r="AH221" s="20">
        <v>128</v>
      </c>
      <c r="AI221" s="20">
        <v>275.75063833333331</v>
      </c>
      <c r="AJ221" s="20">
        <v>800</v>
      </c>
      <c r="AK221" s="20">
        <v>550</v>
      </c>
      <c r="AL221" s="54">
        <f t="shared" si="68"/>
        <v>121.33028086666666</v>
      </c>
      <c r="AM221" s="54">
        <f t="shared" si="69"/>
        <v>44.843671808319996</v>
      </c>
      <c r="AN221" s="33">
        <v>151250</v>
      </c>
      <c r="AO221" s="56">
        <f t="shared" si="70"/>
        <v>35296.081706666664</v>
      </c>
      <c r="AP221" s="58">
        <f t="shared" si="71"/>
        <v>1</v>
      </c>
      <c r="AQ221" s="59">
        <f t="shared" si="72"/>
        <v>3.9115942228478717</v>
      </c>
    </row>
    <row r="222" spans="1:43">
      <c r="A222" s="22" t="s">
        <v>445</v>
      </c>
      <c r="B222" s="22" t="s">
        <v>231</v>
      </c>
      <c r="C222" s="24" t="s">
        <v>344</v>
      </c>
      <c r="D222" s="38">
        <v>1</v>
      </c>
      <c r="E222" s="39" t="s">
        <v>770</v>
      </c>
      <c r="F222" s="40"/>
      <c r="G222" s="41" t="s">
        <v>783</v>
      </c>
      <c r="H222" s="40"/>
      <c r="I222" s="40"/>
      <c r="J222" s="42">
        <v>172</v>
      </c>
      <c r="K222" s="43" t="s">
        <v>56</v>
      </c>
      <c r="L222" s="43" t="s">
        <v>57</v>
      </c>
      <c r="M222" s="42" t="s">
        <v>589</v>
      </c>
      <c r="N222" s="43" t="s">
        <v>69</v>
      </c>
      <c r="O222" s="43" t="s">
        <v>786</v>
      </c>
      <c r="P222" s="44">
        <v>2781250</v>
      </c>
      <c r="Q222" s="45" t="s">
        <v>25</v>
      </c>
      <c r="R222" s="45" t="s">
        <v>26</v>
      </c>
      <c r="S222" s="42">
        <v>2038</v>
      </c>
      <c r="T222" s="46">
        <v>50770</v>
      </c>
      <c r="U222" s="47">
        <v>0.36959999999999998</v>
      </c>
      <c r="V222" s="47"/>
      <c r="W222" s="48">
        <f t="shared" si="64"/>
        <v>0.36959999999999998</v>
      </c>
      <c r="X222" s="47"/>
      <c r="Y222" s="47"/>
      <c r="Z222" s="47"/>
      <c r="AA222" s="53">
        <v>0.19800000000000001</v>
      </c>
      <c r="AB222" s="47">
        <v>0.63040000000000007</v>
      </c>
      <c r="AC222" s="51">
        <f t="shared" si="73"/>
        <v>220600.51066666664</v>
      </c>
      <c r="AD222" s="46"/>
      <c r="AE222" s="40">
        <f t="shared" si="65"/>
        <v>2.78125</v>
      </c>
      <c r="AF222" s="53">
        <f t="shared" si="66"/>
        <v>2.2922966798835615E-2</v>
      </c>
      <c r="AG222" s="55">
        <f t="shared" si="67"/>
        <v>28.23686536533333</v>
      </c>
      <c r="AH222" s="40">
        <v>128</v>
      </c>
      <c r="AI222" s="40">
        <v>275.75063833333331</v>
      </c>
      <c r="AJ222" s="40">
        <v>800</v>
      </c>
      <c r="AK222" s="40">
        <v>550</v>
      </c>
      <c r="AL222" s="55">
        <f t="shared" si="68"/>
        <v>121.33028086666666</v>
      </c>
      <c r="AM222" s="55">
        <f t="shared" si="69"/>
        <v>44.843671808319996</v>
      </c>
      <c r="AN222" s="49">
        <v>151250</v>
      </c>
      <c r="AO222" s="57">
        <f t="shared" si="70"/>
        <v>35296.081706666664</v>
      </c>
      <c r="AP222" s="60">
        <f t="shared" si="71"/>
        <v>1</v>
      </c>
      <c r="AQ222" s="61">
        <f t="shared" si="72"/>
        <v>3.9115942228478717</v>
      </c>
    </row>
    <row r="223" spans="1:43">
      <c r="A223" s="22" t="s">
        <v>445</v>
      </c>
      <c r="B223" s="22" t="s">
        <v>232</v>
      </c>
      <c r="C223" s="24" t="s">
        <v>344</v>
      </c>
      <c r="D223" s="25">
        <v>1</v>
      </c>
      <c r="E223" s="26" t="s">
        <v>770</v>
      </c>
      <c r="F223" s="20"/>
      <c r="G223" s="27" t="s">
        <v>783</v>
      </c>
      <c r="H223" s="20"/>
      <c r="I223" s="20"/>
      <c r="J223" s="28">
        <v>173</v>
      </c>
      <c r="K223" s="29" t="s">
        <v>56</v>
      </c>
      <c r="L223" s="29" t="s">
        <v>57</v>
      </c>
      <c r="M223" s="28" t="s">
        <v>589</v>
      </c>
      <c r="N223" s="29" t="s">
        <v>70</v>
      </c>
      <c r="O223" s="29" t="s">
        <v>786</v>
      </c>
      <c r="P223" s="37">
        <v>2781250</v>
      </c>
      <c r="Q223" s="30" t="s">
        <v>25</v>
      </c>
      <c r="R223" s="30" t="s">
        <v>26</v>
      </c>
      <c r="S223" s="28">
        <v>2039</v>
      </c>
      <c r="T223" s="32">
        <v>51135</v>
      </c>
      <c r="U223" s="31">
        <v>0.36959999999999998</v>
      </c>
      <c r="V223" s="31"/>
      <c r="W223" s="36">
        <f t="shared" si="64"/>
        <v>0.36959999999999998</v>
      </c>
      <c r="X223" s="31"/>
      <c r="Y223" s="31"/>
      <c r="Z223" s="31"/>
      <c r="AA223" s="52">
        <v>0.19800000000000001</v>
      </c>
      <c r="AB223" s="31">
        <v>0.63040000000000007</v>
      </c>
      <c r="AC223" s="50">
        <f t="shared" si="73"/>
        <v>220600.51066666664</v>
      </c>
      <c r="AD223" s="32"/>
      <c r="AE223" s="20">
        <f t="shared" si="65"/>
        <v>2.78125</v>
      </c>
      <c r="AF223" s="52">
        <f t="shared" si="66"/>
        <v>2.2922966798835615E-2</v>
      </c>
      <c r="AG223" s="54">
        <f t="shared" si="67"/>
        <v>28.23686536533333</v>
      </c>
      <c r="AH223" s="20">
        <v>128</v>
      </c>
      <c r="AI223" s="20">
        <v>275.75063833333331</v>
      </c>
      <c r="AJ223" s="20">
        <v>800</v>
      </c>
      <c r="AK223" s="20">
        <v>550</v>
      </c>
      <c r="AL223" s="54">
        <f t="shared" si="68"/>
        <v>121.33028086666666</v>
      </c>
      <c r="AM223" s="54">
        <f t="shared" si="69"/>
        <v>44.843671808319996</v>
      </c>
      <c r="AN223" s="33">
        <v>151250</v>
      </c>
      <c r="AO223" s="56">
        <f t="shared" si="70"/>
        <v>35296.081706666664</v>
      </c>
      <c r="AP223" s="58">
        <f t="shared" si="71"/>
        <v>1</v>
      </c>
      <c r="AQ223" s="59">
        <f t="shared" si="72"/>
        <v>3.9115942228478717</v>
      </c>
    </row>
    <row r="224" spans="1:43">
      <c r="A224" s="22" t="s">
        <v>445</v>
      </c>
      <c r="B224" s="22" t="s">
        <v>660</v>
      </c>
      <c r="C224" s="24" t="s">
        <v>344</v>
      </c>
      <c r="D224" s="38">
        <v>1</v>
      </c>
      <c r="E224" s="39" t="s">
        <v>770</v>
      </c>
      <c r="F224" s="40"/>
      <c r="G224" s="41" t="s">
        <v>783</v>
      </c>
      <c r="H224" s="40"/>
      <c r="I224" s="40"/>
      <c r="J224" s="42">
        <v>174</v>
      </c>
      <c r="K224" s="43" t="s">
        <v>56</v>
      </c>
      <c r="L224" s="43" t="s">
        <v>57</v>
      </c>
      <c r="M224" s="42" t="s">
        <v>589</v>
      </c>
      <c r="N224" s="43" t="s">
        <v>71</v>
      </c>
      <c r="O224" s="43" t="s">
        <v>786</v>
      </c>
      <c r="P224" s="44">
        <v>2781250</v>
      </c>
      <c r="Q224" s="45" t="s">
        <v>25</v>
      </c>
      <c r="R224" s="45" t="s">
        <v>26</v>
      </c>
      <c r="S224" s="42">
        <v>2040</v>
      </c>
      <c r="T224" s="46">
        <v>51501</v>
      </c>
      <c r="U224" s="47">
        <v>0.36959999999999998</v>
      </c>
      <c r="V224" s="47"/>
      <c r="W224" s="48">
        <f t="shared" si="64"/>
        <v>0.36959999999999998</v>
      </c>
      <c r="X224" s="47"/>
      <c r="Y224" s="47"/>
      <c r="Z224" s="47"/>
      <c r="AA224" s="53">
        <v>0.19800000000000001</v>
      </c>
      <c r="AB224" s="47">
        <v>0.63040000000000007</v>
      </c>
      <c r="AC224" s="51">
        <f t="shared" si="73"/>
        <v>220600.51066666664</v>
      </c>
      <c r="AD224" s="46"/>
      <c r="AE224" s="40">
        <f t="shared" si="65"/>
        <v>2.78125</v>
      </c>
      <c r="AF224" s="53">
        <f t="shared" si="66"/>
        <v>2.2922966798835615E-2</v>
      </c>
      <c r="AG224" s="55">
        <f t="shared" si="67"/>
        <v>28.23686536533333</v>
      </c>
      <c r="AH224" s="40">
        <v>128</v>
      </c>
      <c r="AI224" s="40">
        <v>275.75063833333331</v>
      </c>
      <c r="AJ224" s="40">
        <v>800</v>
      </c>
      <c r="AK224" s="40">
        <v>550</v>
      </c>
      <c r="AL224" s="55">
        <f t="shared" si="68"/>
        <v>121.33028086666666</v>
      </c>
      <c r="AM224" s="55">
        <f t="shared" si="69"/>
        <v>44.843671808319996</v>
      </c>
      <c r="AN224" s="49">
        <v>151250</v>
      </c>
      <c r="AO224" s="57">
        <f t="shared" si="70"/>
        <v>35296.081706666664</v>
      </c>
      <c r="AP224" s="60">
        <f t="shared" si="71"/>
        <v>1</v>
      </c>
      <c r="AQ224" s="61">
        <f t="shared" si="72"/>
        <v>3.9115942228478717</v>
      </c>
    </row>
    <row r="225" spans="1:43">
      <c r="A225" s="22" t="s">
        <v>445</v>
      </c>
      <c r="B225" s="22" t="s">
        <v>233</v>
      </c>
      <c r="C225" s="24" t="s">
        <v>344</v>
      </c>
      <c r="D225" s="25">
        <v>1</v>
      </c>
      <c r="E225" s="26" t="s">
        <v>770</v>
      </c>
      <c r="F225" s="20"/>
      <c r="G225" s="27" t="s">
        <v>783</v>
      </c>
      <c r="H225" s="20"/>
      <c r="I225" s="20"/>
      <c r="J225" s="28">
        <v>175</v>
      </c>
      <c r="K225" s="29" t="s">
        <v>56</v>
      </c>
      <c r="L225" s="29" t="s">
        <v>57</v>
      </c>
      <c r="M225" s="28" t="s">
        <v>589</v>
      </c>
      <c r="N225" s="29" t="s">
        <v>72</v>
      </c>
      <c r="O225" s="29" t="s">
        <v>786</v>
      </c>
      <c r="P225" s="37">
        <v>2781250</v>
      </c>
      <c r="Q225" s="30" t="s">
        <v>25</v>
      </c>
      <c r="R225" s="30" t="s">
        <v>26</v>
      </c>
      <c r="S225" s="28">
        <v>2041</v>
      </c>
      <c r="T225" s="32">
        <v>51866</v>
      </c>
      <c r="U225" s="31">
        <v>0.36959999999999998</v>
      </c>
      <c r="V225" s="31"/>
      <c r="W225" s="36">
        <f t="shared" si="64"/>
        <v>0.36959999999999998</v>
      </c>
      <c r="X225" s="31"/>
      <c r="Y225" s="31"/>
      <c r="Z225" s="31"/>
      <c r="AA225" s="52">
        <v>0.19800000000000001</v>
      </c>
      <c r="AB225" s="31">
        <v>0.63040000000000007</v>
      </c>
      <c r="AC225" s="50">
        <f t="shared" si="73"/>
        <v>220600.51066666664</v>
      </c>
      <c r="AD225" s="32"/>
      <c r="AE225" s="20">
        <f t="shared" si="65"/>
        <v>2.78125</v>
      </c>
      <c r="AF225" s="52">
        <f t="shared" si="66"/>
        <v>2.2922966798835615E-2</v>
      </c>
      <c r="AG225" s="54">
        <f t="shared" si="67"/>
        <v>28.23686536533333</v>
      </c>
      <c r="AH225" s="20">
        <v>128</v>
      </c>
      <c r="AI225" s="20">
        <v>275.75063833333331</v>
      </c>
      <c r="AJ225" s="20">
        <v>800</v>
      </c>
      <c r="AK225" s="20">
        <v>550</v>
      </c>
      <c r="AL225" s="54">
        <f t="shared" si="68"/>
        <v>121.33028086666666</v>
      </c>
      <c r="AM225" s="54">
        <f t="shared" si="69"/>
        <v>44.843671808319996</v>
      </c>
      <c r="AN225" s="33">
        <v>151250</v>
      </c>
      <c r="AO225" s="56">
        <f t="shared" si="70"/>
        <v>35296.081706666664</v>
      </c>
      <c r="AP225" s="58">
        <f t="shared" si="71"/>
        <v>1</v>
      </c>
      <c r="AQ225" s="59">
        <f t="shared" si="72"/>
        <v>3.9115942228478717</v>
      </c>
    </row>
    <row r="226" spans="1:43">
      <c r="A226" s="22" t="s">
        <v>445</v>
      </c>
      <c r="B226" s="22" t="s">
        <v>234</v>
      </c>
      <c r="C226" s="24" t="s">
        <v>344</v>
      </c>
      <c r="D226" s="38">
        <v>1</v>
      </c>
      <c r="E226" s="39" t="s">
        <v>770</v>
      </c>
      <c r="F226" s="40"/>
      <c r="G226" s="41" t="s">
        <v>783</v>
      </c>
      <c r="H226" s="40"/>
      <c r="I226" s="40"/>
      <c r="J226" s="42">
        <v>176</v>
      </c>
      <c r="K226" s="43" t="s">
        <v>56</v>
      </c>
      <c r="L226" s="43" t="s">
        <v>57</v>
      </c>
      <c r="M226" s="42" t="s">
        <v>589</v>
      </c>
      <c r="N226" s="43" t="s">
        <v>73</v>
      </c>
      <c r="O226" s="43" t="s">
        <v>786</v>
      </c>
      <c r="P226" s="44">
        <v>2781250</v>
      </c>
      <c r="Q226" s="45" t="s">
        <v>25</v>
      </c>
      <c r="R226" s="45" t="s">
        <v>26</v>
      </c>
      <c r="S226" s="42">
        <v>2042</v>
      </c>
      <c r="T226" s="46">
        <v>52231</v>
      </c>
      <c r="U226" s="47">
        <v>0.36959999999999998</v>
      </c>
      <c r="V226" s="47"/>
      <c r="W226" s="48">
        <f t="shared" si="64"/>
        <v>0.36959999999999998</v>
      </c>
      <c r="X226" s="47"/>
      <c r="Y226" s="47"/>
      <c r="Z226" s="47"/>
      <c r="AA226" s="53">
        <v>0.19800000000000001</v>
      </c>
      <c r="AB226" s="47">
        <v>0.63040000000000007</v>
      </c>
      <c r="AC226" s="51">
        <f t="shared" si="73"/>
        <v>220600.51066666664</v>
      </c>
      <c r="AD226" s="46"/>
      <c r="AE226" s="40">
        <f t="shared" si="65"/>
        <v>2.78125</v>
      </c>
      <c r="AF226" s="53">
        <f t="shared" si="66"/>
        <v>2.2922966798835615E-2</v>
      </c>
      <c r="AG226" s="55">
        <f t="shared" si="67"/>
        <v>28.23686536533333</v>
      </c>
      <c r="AH226" s="40">
        <v>128</v>
      </c>
      <c r="AI226" s="40">
        <v>275.75063833333331</v>
      </c>
      <c r="AJ226" s="40">
        <v>800</v>
      </c>
      <c r="AK226" s="40">
        <v>550</v>
      </c>
      <c r="AL226" s="55">
        <f t="shared" si="68"/>
        <v>121.33028086666666</v>
      </c>
      <c r="AM226" s="55">
        <f t="shared" si="69"/>
        <v>44.843671808319996</v>
      </c>
      <c r="AN226" s="49">
        <v>151250</v>
      </c>
      <c r="AO226" s="57">
        <f t="shared" si="70"/>
        <v>35296.081706666664</v>
      </c>
      <c r="AP226" s="60">
        <f t="shared" si="71"/>
        <v>1</v>
      </c>
      <c r="AQ226" s="61">
        <f t="shared" si="72"/>
        <v>3.9115942228478717</v>
      </c>
    </row>
    <row r="227" spans="1:43">
      <c r="A227" s="22" t="s">
        <v>445</v>
      </c>
      <c r="B227" s="22" t="s">
        <v>235</v>
      </c>
      <c r="C227" s="24" t="s">
        <v>344</v>
      </c>
      <c r="D227" s="25">
        <v>1</v>
      </c>
      <c r="E227" s="26" t="s">
        <v>770</v>
      </c>
      <c r="F227" s="20"/>
      <c r="G227" s="27" t="s">
        <v>783</v>
      </c>
      <c r="H227" s="20"/>
      <c r="I227" s="20"/>
      <c r="J227" s="28">
        <v>177</v>
      </c>
      <c r="K227" s="29" t="s">
        <v>56</v>
      </c>
      <c r="L227" s="29" t="s">
        <v>57</v>
      </c>
      <c r="M227" s="28" t="s">
        <v>589</v>
      </c>
      <c r="N227" s="29" t="s">
        <v>74</v>
      </c>
      <c r="O227" s="29" t="s">
        <v>786</v>
      </c>
      <c r="P227" s="37">
        <v>2781250</v>
      </c>
      <c r="Q227" s="30" t="s">
        <v>25</v>
      </c>
      <c r="R227" s="30" t="s">
        <v>26</v>
      </c>
      <c r="S227" s="28">
        <v>2043</v>
      </c>
      <c r="T227" s="32">
        <v>52596</v>
      </c>
      <c r="U227" s="31">
        <v>0.36959999999999998</v>
      </c>
      <c r="V227" s="31"/>
      <c r="W227" s="36">
        <f t="shared" si="64"/>
        <v>0.36959999999999998</v>
      </c>
      <c r="X227" s="31"/>
      <c r="Y227" s="31"/>
      <c r="Z227" s="31"/>
      <c r="AA227" s="52">
        <v>0.19800000000000001</v>
      </c>
      <c r="AB227" s="31">
        <v>0.63040000000000007</v>
      </c>
      <c r="AC227" s="50">
        <f t="shared" si="73"/>
        <v>220600.51066666664</v>
      </c>
      <c r="AD227" s="32"/>
      <c r="AE227" s="20">
        <f t="shared" si="65"/>
        <v>2.78125</v>
      </c>
      <c r="AF227" s="52">
        <f t="shared" si="66"/>
        <v>2.2922966798835615E-2</v>
      </c>
      <c r="AG227" s="54">
        <f t="shared" si="67"/>
        <v>28.23686536533333</v>
      </c>
      <c r="AH227" s="20">
        <v>128</v>
      </c>
      <c r="AI227" s="20">
        <v>275.75063833333331</v>
      </c>
      <c r="AJ227" s="20">
        <v>800</v>
      </c>
      <c r="AK227" s="20">
        <v>550</v>
      </c>
      <c r="AL227" s="54">
        <f t="shared" si="68"/>
        <v>121.33028086666666</v>
      </c>
      <c r="AM227" s="54">
        <f t="shared" si="69"/>
        <v>44.843671808319996</v>
      </c>
      <c r="AN227" s="33">
        <v>151250</v>
      </c>
      <c r="AO227" s="56">
        <f t="shared" si="70"/>
        <v>35296.081706666664</v>
      </c>
      <c r="AP227" s="58">
        <f t="shared" si="71"/>
        <v>1</v>
      </c>
      <c r="AQ227" s="59">
        <f t="shared" si="72"/>
        <v>3.9115942228478717</v>
      </c>
    </row>
    <row r="228" spans="1:43">
      <c r="A228" s="22" t="s">
        <v>445</v>
      </c>
      <c r="B228" s="22" t="s">
        <v>236</v>
      </c>
      <c r="C228" s="24" t="s">
        <v>344</v>
      </c>
      <c r="D228" s="38">
        <v>1</v>
      </c>
      <c r="E228" s="39" t="s">
        <v>770</v>
      </c>
      <c r="F228" s="40"/>
      <c r="G228" s="41" t="s">
        <v>783</v>
      </c>
      <c r="H228" s="40"/>
      <c r="I228" s="40"/>
      <c r="J228" s="42">
        <v>178</v>
      </c>
      <c r="K228" s="43" t="s">
        <v>56</v>
      </c>
      <c r="L228" s="43" t="s">
        <v>57</v>
      </c>
      <c r="M228" s="42" t="s">
        <v>589</v>
      </c>
      <c r="N228" s="43" t="s">
        <v>75</v>
      </c>
      <c r="O228" s="43" t="s">
        <v>786</v>
      </c>
      <c r="P228" s="44">
        <v>2781250</v>
      </c>
      <c r="Q228" s="45" t="s">
        <v>25</v>
      </c>
      <c r="R228" s="45" t="s">
        <v>26</v>
      </c>
      <c r="S228" s="42">
        <v>2044</v>
      </c>
      <c r="T228" s="46">
        <v>52962</v>
      </c>
      <c r="U228" s="47">
        <v>0.36959999999999998</v>
      </c>
      <c r="V228" s="47"/>
      <c r="W228" s="48">
        <f t="shared" si="64"/>
        <v>0.36959999999999998</v>
      </c>
      <c r="X228" s="47"/>
      <c r="Y228" s="47"/>
      <c r="Z228" s="47"/>
      <c r="AA228" s="53">
        <v>0.19800000000000001</v>
      </c>
      <c r="AB228" s="47">
        <v>0.63040000000000007</v>
      </c>
      <c r="AC228" s="51">
        <f t="shared" si="73"/>
        <v>220600.51066666664</v>
      </c>
      <c r="AD228" s="46"/>
      <c r="AE228" s="40">
        <f t="shared" si="65"/>
        <v>2.78125</v>
      </c>
      <c r="AF228" s="53">
        <f t="shared" si="66"/>
        <v>2.2922966798835615E-2</v>
      </c>
      <c r="AG228" s="55">
        <f t="shared" si="67"/>
        <v>28.23686536533333</v>
      </c>
      <c r="AH228" s="40">
        <v>128</v>
      </c>
      <c r="AI228" s="40">
        <v>275.75063833333331</v>
      </c>
      <c r="AJ228" s="40">
        <v>800</v>
      </c>
      <c r="AK228" s="40">
        <v>550</v>
      </c>
      <c r="AL228" s="55">
        <f t="shared" si="68"/>
        <v>121.33028086666666</v>
      </c>
      <c r="AM228" s="55">
        <f t="shared" si="69"/>
        <v>44.843671808319996</v>
      </c>
      <c r="AN228" s="49">
        <v>151250</v>
      </c>
      <c r="AO228" s="57">
        <f t="shared" si="70"/>
        <v>35296.081706666664</v>
      </c>
      <c r="AP228" s="60">
        <f t="shared" si="71"/>
        <v>1</v>
      </c>
      <c r="AQ228" s="61">
        <f t="shared" si="72"/>
        <v>3.9115942228478717</v>
      </c>
    </row>
    <row r="229" spans="1:43">
      <c r="A229" s="22" t="s">
        <v>445</v>
      </c>
      <c r="B229" s="22" t="s">
        <v>237</v>
      </c>
      <c r="C229" s="24" t="s">
        <v>344</v>
      </c>
      <c r="D229" s="25">
        <v>1</v>
      </c>
      <c r="E229" s="26" t="s">
        <v>770</v>
      </c>
      <c r="F229" s="20"/>
      <c r="G229" s="27" t="s">
        <v>783</v>
      </c>
      <c r="H229" s="20"/>
      <c r="I229" s="20"/>
      <c r="J229" s="28">
        <v>179</v>
      </c>
      <c r="K229" s="29" t="s">
        <v>56</v>
      </c>
      <c r="L229" s="29" t="s">
        <v>57</v>
      </c>
      <c r="M229" s="28" t="s">
        <v>589</v>
      </c>
      <c r="N229" s="29" t="s">
        <v>76</v>
      </c>
      <c r="O229" s="29" t="s">
        <v>786</v>
      </c>
      <c r="P229" s="37">
        <v>2781250</v>
      </c>
      <c r="Q229" s="30" t="s">
        <v>25</v>
      </c>
      <c r="R229" s="30" t="s">
        <v>26</v>
      </c>
      <c r="S229" s="28">
        <v>2029</v>
      </c>
      <c r="T229" s="32">
        <v>47483</v>
      </c>
      <c r="U229" s="31">
        <v>0.6</v>
      </c>
      <c r="V229" s="31"/>
      <c r="W229" s="36">
        <f t="shared" si="64"/>
        <v>0.6</v>
      </c>
      <c r="X229" s="31"/>
      <c r="Y229" s="31"/>
      <c r="Z229" s="31"/>
      <c r="AA229" s="52">
        <v>0.19800000000000001</v>
      </c>
      <c r="AB229" s="31">
        <v>0.4</v>
      </c>
      <c r="AC229" s="50">
        <f t="shared" si="73"/>
        <v>160000</v>
      </c>
      <c r="AD229" s="32"/>
      <c r="AE229" s="20">
        <f t="shared" si="65"/>
        <v>2.78125</v>
      </c>
      <c r="AF229" s="52">
        <f t="shared" si="66"/>
        <v>3.4765625000000001E-2</v>
      </c>
      <c r="AG229" s="54">
        <f t="shared" si="67"/>
        <v>20.48</v>
      </c>
      <c r="AH229" s="20">
        <v>128</v>
      </c>
      <c r="AI229" s="20">
        <v>300.18761726078799</v>
      </c>
      <c r="AJ229" s="20">
        <v>533</v>
      </c>
      <c r="AK229" s="20">
        <v>500</v>
      </c>
      <c r="AL229" s="54">
        <f t="shared" si="68"/>
        <v>80</v>
      </c>
      <c r="AM229" s="54">
        <f t="shared" si="69"/>
        <v>48</v>
      </c>
      <c r="AN229" s="33">
        <v>150000</v>
      </c>
      <c r="AO229" s="56">
        <f t="shared" si="70"/>
        <v>38424.015009380862</v>
      </c>
      <c r="AP229" s="58">
        <f t="shared" si="71"/>
        <v>1</v>
      </c>
      <c r="AQ229" s="59">
        <f t="shared" si="72"/>
        <v>3.4391960879144499</v>
      </c>
    </row>
    <row r="230" spans="1:43">
      <c r="A230" s="22" t="s">
        <v>446</v>
      </c>
      <c r="B230" s="22" t="s">
        <v>424</v>
      </c>
      <c r="C230" s="24" t="s">
        <v>345</v>
      </c>
      <c r="D230" s="38">
        <v>1</v>
      </c>
      <c r="E230" s="39" t="s">
        <v>770</v>
      </c>
      <c r="F230" s="40"/>
      <c r="G230" s="41" t="s">
        <v>783</v>
      </c>
      <c r="H230" s="40"/>
      <c r="I230" s="40"/>
      <c r="J230" s="42">
        <v>180</v>
      </c>
      <c r="K230" s="43" t="s">
        <v>56</v>
      </c>
      <c r="L230" s="43" t="s">
        <v>57</v>
      </c>
      <c r="M230" s="42" t="s">
        <v>589</v>
      </c>
      <c r="N230" s="43" t="s">
        <v>77</v>
      </c>
      <c r="O230" s="43" t="s">
        <v>790</v>
      </c>
      <c r="P230" s="44">
        <v>0</v>
      </c>
      <c r="Q230" s="45" t="s">
        <v>78</v>
      </c>
      <c r="R230" s="45" t="s">
        <v>26</v>
      </c>
      <c r="S230" s="42">
        <v>2029</v>
      </c>
      <c r="T230" s="46">
        <v>47483</v>
      </c>
      <c r="U230" s="47">
        <v>0.438</v>
      </c>
      <c r="V230" s="47">
        <v>0.27</v>
      </c>
      <c r="W230" s="48">
        <f t="shared" si="64"/>
        <v>0.70799999999999996</v>
      </c>
      <c r="X230" s="47">
        <v>0.05</v>
      </c>
      <c r="Y230" s="47">
        <v>9.0000000000000011E-2</v>
      </c>
      <c r="Z230" s="47">
        <v>6.8000000000000005E-2</v>
      </c>
      <c r="AA230" s="53">
        <v>0.19800000000000001</v>
      </c>
      <c r="AB230" s="47">
        <v>0.29200000000000004</v>
      </c>
      <c r="AC230" s="51">
        <f t="shared" si="73"/>
        <v>202246.8762222222</v>
      </c>
      <c r="AD230" s="46"/>
      <c r="AE230" s="40">
        <f t="shared" si="65"/>
        <v>0</v>
      </c>
      <c r="AF230" s="53">
        <f t="shared" si="66"/>
        <v>0</v>
      </c>
      <c r="AG230" s="55">
        <f t="shared" si="67"/>
        <v>44.494312768888889</v>
      </c>
      <c r="AH230" s="40">
        <v>220</v>
      </c>
      <c r="AI230" s="40">
        <v>439.66712222222219</v>
      </c>
      <c r="AJ230" s="40">
        <v>460</v>
      </c>
      <c r="AK230" s="40">
        <v>900</v>
      </c>
      <c r="AL230" s="55">
        <f t="shared" si="68"/>
        <v>182.02218859999999</v>
      </c>
      <c r="AM230" s="55">
        <f t="shared" si="69"/>
        <v>79.725718606800001</v>
      </c>
      <c r="AN230" s="49">
        <v>395700</v>
      </c>
      <c r="AO230" s="57">
        <f t="shared" si="70"/>
        <v>96726.766888888887</v>
      </c>
      <c r="AP230" s="60">
        <f t="shared" si="71"/>
        <v>0.73</v>
      </c>
      <c r="AQ230" s="61">
        <f t="shared" si="72"/>
        <v>2.9863636363636359</v>
      </c>
    </row>
    <row r="231" spans="1:43" s="21" customFormat="1">
      <c r="A231" s="22" t="s">
        <v>446</v>
      </c>
      <c r="B231" s="22" t="s">
        <v>425</v>
      </c>
      <c r="C231" s="24" t="s">
        <v>345</v>
      </c>
      <c r="D231" s="25">
        <v>1</v>
      </c>
      <c r="E231" s="26" t="s">
        <v>770</v>
      </c>
      <c r="F231" s="20"/>
      <c r="G231" s="27" t="s">
        <v>783</v>
      </c>
      <c r="H231" s="20"/>
      <c r="I231" s="20"/>
      <c r="J231" s="28">
        <v>181</v>
      </c>
      <c r="K231" s="29" t="s">
        <v>56</v>
      </c>
      <c r="L231" s="29" t="s">
        <v>57</v>
      </c>
      <c r="M231" s="28" t="s">
        <v>589</v>
      </c>
      <c r="N231" s="29" t="s">
        <v>79</v>
      </c>
      <c r="O231" s="29" t="s">
        <v>790</v>
      </c>
      <c r="P231" s="37">
        <v>0</v>
      </c>
      <c r="Q231" s="30" t="s">
        <v>78</v>
      </c>
      <c r="R231" s="30" t="s">
        <v>26</v>
      </c>
      <c r="S231" s="28">
        <v>2029</v>
      </c>
      <c r="T231" s="32">
        <v>47483</v>
      </c>
      <c r="U231" s="31">
        <v>0.438</v>
      </c>
      <c r="V231" s="31">
        <v>0.27</v>
      </c>
      <c r="W231" s="36">
        <f t="shared" si="64"/>
        <v>0.70799999999999996</v>
      </c>
      <c r="X231" s="31">
        <v>0.05</v>
      </c>
      <c r="Y231" s="31">
        <v>9.0000000000000011E-2</v>
      </c>
      <c r="Z231" s="31">
        <v>6.8000000000000005E-2</v>
      </c>
      <c r="AA231" s="52">
        <v>0.19800000000000001</v>
      </c>
      <c r="AB231" s="31">
        <v>0.29200000000000004</v>
      </c>
      <c r="AC231" s="50">
        <f t="shared" si="73"/>
        <v>202246.8762222222</v>
      </c>
      <c r="AD231" s="32"/>
      <c r="AE231" s="20">
        <f t="shared" si="65"/>
        <v>0</v>
      </c>
      <c r="AF231" s="52">
        <f t="shared" si="66"/>
        <v>0</v>
      </c>
      <c r="AG231" s="54">
        <f t="shared" si="67"/>
        <v>44.494312768888889</v>
      </c>
      <c r="AH231" s="20">
        <v>220</v>
      </c>
      <c r="AI231" s="20">
        <v>439.66712222222219</v>
      </c>
      <c r="AJ231" s="20">
        <v>460</v>
      </c>
      <c r="AK231" s="20">
        <v>900</v>
      </c>
      <c r="AL231" s="54">
        <f t="shared" si="68"/>
        <v>182.02218859999999</v>
      </c>
      <c r="AM231" s="54">
        <f t="shared" si="69"/>
        <v>79.725718606800001</v>
      </c>
      <c r="AN231" s="33">
        <v>395700</v>
      </c>
      <c r="AO231" s="56">
        <f t="shared" si="70"/>
        <v>96726.766888888887</v>
      </c>
      <c r="AP231" s="58">
        <f t="shared" si="71"/>
        <v>0.73</v>
      </c>
      <c r="AQ231" s="59">
        <f t="shared" si="72"/>
        <v>2.9863636363636359</v>
      </c>
    </row>
    <row r="232" spans="1:43">
      <c r="A232" s="22" t="s">
        <v>446</v>
      </c>
      <c r="B232" s="22" t="s">
        <v>238</v>
      </c>
      <c r="C232" s="24" t="s">
        <v>345</v>
      </c>
      <c r="D232" s="38">
        <v>1</v>
      </c>
      <c r="E232" s="39" t="s">
        <v>770</v>
      </c>
      <c r="F232" s="40"/>
      <c r="G232" s="41" t="s">
        <v>783</v>
      </c>
      <c r="H232" s="40"/>
      <c r="I232" s="40"/>
      <c r="J232" s="42">
        <v>182</v>
      </c>
      <c r="K232" s="43" t="s">
        <v>56</v>
      </c>
      <c r="L232" s="43" t="s">
        <v>57</v>
      </c>
      <c r="M232" s="42" t="s">
        <v>589</v>
      </c>
      <c r="N232" s="43" t="s">
        <v>80</v>
      </c>
      <c r="O232" s="43" t="s">
        <v>790</v>
      </c>
      <c r="P232" s="44">
        <v>0</v>
      </c>
      <c r="Q232" s="45" t="s">
        <v>78</v>
      </c>
      <c r="R232" s="45" t="s">
        <v>26</v>
      </c>
      <c r="S232" s="42">
        <v>2030</v>
      </c>
      <c r="T232" s="46">
        <v>47848</v>
      </c>
      <c r="U232" s="47">
        <v>0.442</v>
      </c>
      <c r="V232" s="47">
        <v>0.35</v>
      </c>
      <c r="W232" s="48">
        <f t="shared" si="64"/>
        <v>0.79200000000000004</v>
      </c>
      <c r="X232" s="47">
        <v>0.05</v>
      </c>
      <c r="Y232" s="47">
        <v>7.0000000000000007E-2</v>
      </c>
      <c r="Z232" s="47">
        <v>6.8000000000000005E-2</v>
      </c>
      <c r="AA232" s="53">
        <v>0.19800000000000001</v>
      </c>
      <c r="AB232" s="47">
        <v>0.20799999999999996</v>
      </c>
      <c r="AC232" s="51">
        <f t="shared" si="73"/>
        <v>178172.5</v>
      </c>
      <c r="AD232" s="46"/>
      <c r="AE232" s="40">
        <f t="shared" si="65"/>
        <v>0</v>
      </c>
      <c r="AF232" s="53">
        <f t="shared" si="66"/>
        <v>0</v>
      </c>
      <c r="AG232" s="55">
        <f t="shared" si="67"/>
        <v>46.324849999999998</v>
      </c>
      <c r="AH232" s="40">
        <v>260</v>
      </c>
      <c r="AI232" s="40">
        <v>350</v>
      </c>
      <c r="AJ232" s="40">
        <v>509.06428571428569</v>
      </c>
      <c r="AK232" s="40">
        <v>1250</v>
      </c>
      <c r="AL232" s="55">
        <f t="shared" si="68"/>
        <v>222.71562499999999</v>
      </c>
      <c r="AM232" s="55">
        <f t="shared" si="69"/>
        <v>98.440306249999992</v>
      </c>
      <c r="AN232" s="49">
        <v>437500</v>
      </c>
      <c r="AO232" s="57">
        <f t="shared" si="70"/>
        <v>91000</v>
      </c>
      <c r="AP232" s="60">
        <f t="shared" si="71"/>
        <v>0.64999999999999991</v>
      </c>
      <c r="AQ232" s="61">
        <f t="shared" si="72"/>
        <v>3.1249999999999991</v>
      </c>
    </row>
    <row r="233" spans="1:43">
      <c r="A233" s="22" t="s">
        <v>446</v>
      </c>
      <c r="B233" s="22" t="s">
        <v>239</v>
      </c>
      <c r="C233" s="24" t="s">
        <v>345</v>
      </c>
      <c r="D233" s="25">
        <v>1</v>
      </c>
      <c r="E233" s="26" t="s">
        <v>770</v>
      </c>
      <c r="F233" s="20"/>
      <c r="G233" s="27" t="s">
        <v>783</v>
      </c>
      <c r="H233" s="20"/>
      <c r="I233" s="20"/>
      <c r="J233" s="28">
        <v>183</v>
      </c>
      <c r="K233" s="29" t="s">
        <v>56</v>
      </c>
      <c r="L233" s="29" t="s">
        <v>57</v>
      </c>
      <c r="M233" s="28" t="s">
        <v>589</v>
      </c>
      <c r="N233" s="29" t="s">
        <v>81</v>
      </c>
      <c r="O233" s="29" t="s">
        <v>790</v>
      </c>
      <c r="P233" s="37">
        <v>0</v>
      </c>
      <c r="Q233" s="30" t="s">
        <v>78</v>
      </c>
      <c r="R233" s="30" t="s">
        <v>26</v>
      </c>
      <c r="S233" s="28">
        <v>2031</v>
      </c>
      <c r="T233" s="32">
        <v>48213</v>
      </c>
      <c r="U233" s="31">
        <v>0.442</v>
      </c>
      <c r="V233" s="31">
        <v>0.35</v>
      </c>
      <c r="W233" s="36">
        <f t="shared" si="64"/>
        <v>0.79200000000000004</v>
      </c>
      <c r="X233" s="31">
        <v>0.05</v>
      </c>
      <c r="Y233" s="31">
        <v>7.0000000000000007E-2</v>
      </c>
      <c r="Z233" s="31">
        <v>6.8000000000000005E-2</v>
      </c>
      <c r="AA233" s="52">
        <v>0.19800000000000001</v>
      </c>
      <c r="AB233" s="31">
        <v>0.20799999999999996</v>
      </c>
      <c r="AC233" s="50">
        <f t="shared" si="73"/>
        <v>178172.5</v>
      </c>
      <c r="AD233" s="32"/>
      <c r="AE233" s="20">
        <f t="shared" si="65"/>
        <v>0</v>
      </c>
      <c r="AF233" s="52">
        <f t="shared" si="66"/>
        <v>0</v>
      </c>
      <c r="AG233" s="54">
        <f t="shared" si="67"/>
        <v>46.324849999999998</v>
      </c>
      <c r="AH233" s="20">
        <v>260</v>
      </c>
      <c r="AI233" s="20">
        <v>350</v>
      </c>
      <c r="AJ233" s="20">
        <v>509.06428571428569</v>
      </c>
      <c r="AK233" s="20">
        <v>1250</v>
      </c>
      <c r="AL233" s="54">
        <f t="shared" si="68"/>
        <v>222.71562499999999</v>
      </c>
      <c r="AM233" s="54">
        <f t="shared" si="69"/>
        <v>98.440306249999992</v>
      </c>
      <c r="AN233" s="33">
        <v>437500</v>
      </c>
      <c r="AO233" s="56">
        <f t="shared" si="70"/>
        <v>91000</v>
      </c>
      <c r="AP233" s="58">
        <f t="shared" si="71"/>
        <v>0.64999999999999991</v>
      </c>
      <c r="AQ233" s="59">
        <f t="shared" si="72"/>
        <v>3.1249999999999991</v>
      </c>
    </row>
    <row r="234" spans="1:43">
      <c r="A234" s="22" t="s">
        <v>447</v>
      </c>
      <c r="B234" s="22" t="s">
        <v>240</v>
      </c>
      <c r="C234" s="24" t="s">
        <v>343</v>
      </c>
      <c r="D234" s="38">
        <v>1</v>
      </c>
      <c r="E234" s="39" t="s">
        <v>770</v>
      </c>
      <c r="F234" s="40"/>
      <c r="G234" s="41" t="s">
        <v>783</v>
      </c>
      <c r="H234" s="40"/>
      <c r="I234" s="40"/>
      <c r="J234" s="42">
        <v>184</v>
      </c>
      <c r="K234" s="43" t="s">
        <v>56</v>
      </c>
      <c r="L234" s="43" t="s">
        <v>57</v>
      </c>
      <c r="M234" s="42" t="s">
        <v>589</v>
      </c>
      <c r="N234" s="43" t="s">
        <v>82</v>
      </c>
      <c r="O234" s="43" t="s">
        <v>790</v>
      </c>
      <c r="P234" s="44">
        <v>0</v>
      </c>
      <c r="Q234" s="45" t="s">
        <v>25</v>
      </c>
      <c r="R234" s="45" t="s">
        <v>789</v>
      </c>
      <c r="S234" s="42">
        <v>2027</v>
      </c>
      <c r="T234" s="46">
        <v>46660</v>
      </c>
      <c r="U234" s="47">
        <v>0.6</v>
      </c>
      <c r="V234" s="47"/>
      <c r="W234" s="48">
        <f t="shared" si="64"/>
        <v>0.6</v>
      </c>
      <c r="X234" s="47"/>
      <c r="Y234" s="47"/>
      <c r="Z234" s="47"/>
      <c r="AA234" s="53">
        <v>0.19800000000000001</v>
      </c>
      <c r="AB234" s="47">
        <v>0.4</v>
      </c>
      <c r="AC234" s="51">
        <v>188861.17</v>
      </c>
      <c r="AD234" s="46"/>
      <c r="AE234" s="40">
        <f t="shared" si="65"/>
        <v>0</v>
      </c>
      <c r="AF234" s="53">
        <f t="shared" si="66"/>
        <v>0</v>
      </c>
      <c r="AG234" s="55">
        <f t="shared" si="67"/>
        <v>24.218623999999998</v>
      </c>
      <c r="AH234" s="40">
        <v>128</v>
      </c>
      <c r="AI234" s="40">
        <v>268</v>
      </c>
      <c r="AJ234" s="40">
        <v>706</v>
      </c>
      <c r="AK234" s="40">
        <v>500</v>
      </c>
      <c r="AL234" s="55">
        <f t="shared" si="68"/>
        <v>94.603999999999999</v>
      </c>
      <c r="AM234" s="55">
        <f t="shared" si="69"/>
        <v>56.7624</v>
      </c>
      <c r="AN234" s="49">
        <v>112650</v>
      </c>
      <c r="AO234" s="57">
        <f t="shared" si="70"/>
        <v>34304</v>
      </c>
      <c r="AP234" s="60">
        <f t="shared" si="71"/>
        <v>1</v>
      </c>
      <c r="AQ234" s="61">
        <f t="shared" si="72"/>
        <v>3.9062500000000004</v>
      </c>
    </row>
    <row r="235" spans="1:43">
      <c r="A235" s="22" t="s">
        <v>449</v>
      </c>
      <c r="B235" s="22" t="s">
        <v>661</v>
      </c>
      <c r="C235" s="24" t="s">
        <v>346</v>
      </c>
      <c r="D235" s="25">
        <v>1</v>
      </c>
      <c r="E235" s="26" t="s">
        <v>770</v>
      </c>
      <c r="F235" s="20"/>
      <c r="G235" s="27" t="s">
        <v>783</v>
      </c>
      <c r="H235" s="20"/>
      <c r="I235" s="20"/>
      <c r="J235" s="28">
        <v>185</v>
      </c>
      <c r="K235" s="29" t="s">
        <v>56</v>
      </c>
      <c r="L235" s="29" t="s">
        <v>57</v>
      </c>
      <c r="M235" s="28" t="s">
        <v>589</v>
      </c>
      <c r="N235" s="29" t="s">
        <v>83</v>
      </c>
      <c r="O235" s="29" t="s">
        <v>790</v>
      </c>
      <c r="P235" s="37">
        <v>0</v>
      </c>
      <c r="Q235" s="30" t="s">
        <v>25</v>
      </c>
      <c r="R235" s="30" t="s">
        <v>26</v>
      </c>
      <c r="S235" s="28">
        <v>2026</v>
      </c>
      <c r="T235" s="32">
        <v>46387</v>
      </c>
      <c r="U235" s="31">
        <v>0.69</v>
      </c>
      <c r="V235" s="31"/>
      <c r="W235" s="36">
        <f t="shared" si="64"/>
        <v>0.69</v>
      </c>
      <c r="X235" s="31"/>
      <c r="Y235" s="31"/>
      <c r="Z235" s="31"/>
      <c r="AA235" s="52">
        <v>0.19800000000000001</v>
      </c>
      <c r="AB235" s="31">
        <v>0.31000000000000005</v>
      </c>
      <c r="AC235" s="50">
        <f>AI235*AJ235</f>
        <v>327445</v>
      </c>
      <c r="AD235" s="32"/>
      <c r="AE235" s="20">
        <f t="shared" si="65"/>
        <v>0</v>
      </c>
      <c r="AF235" s="52">
        <f t="shared" si="66"/>
        <v>0</v>
      </c>
      <c r="AG235" s="54">
        <f t="shared" si="67"/>
        <v>41.912959999999998</v>
      </c>
      <c r="AH235" s="20">
        <v>128</v>
      </c>
      <c r="AI235" s="20">
        <v>215</v>
      </c>
      <c r="AJ235" s="20">
        <v>1523</v>
      </c>
      <c r="AK235" s="20">
        <v>600</v>
      </c>
      <c r="AL235" s="54">
        <f t="shared" si="68"/>
        <v>196.46700000000001</v>
      </c>
      <c r="AM235" s="54">
        <f t="shared" si="69"/>
        <v>135.56223</v>
      </c>
      <c r="AN235" s="33">
        <v>128718</v>
      </c>
      <c r="AO235" s="56">
        <f t="shared" si="70"/>
        <v>27520</v>
      </c>
      <c r="AP235" s="58">
        <f t="shared" si="71"/>
        <v>1</v>
      </c>
      <c r="AQ235" s="59">
        <f t="shared" si="72"/>
        <v>4.6875000000000009</v>
      </c>
    </row>
    <row r="236" spans="1:43">
      <c r="A236" s="22" t="s">
        <v>453</v>
      </c>
      <c r="B236" s="22" t="s">
        <v>242</v>
      </c>
      <c r="C236" s="24" t="s">
        <v>411</v>
      </c>
      <c r="D236" s="38">
        <v>1</v>
      </c>
      <c r="E236" s="39" t="s">
        <v>769</v>
      </c>
      <c r="F236" s="40"/>
      <c r="G236" s="41">
        <v>2313</v>
      </c>
      <c r="H236" s="40"/>
      <c r="I236" s="40"/>
      <c r="J236" s="42">
        <v>190</v>
      </c>
      <c r="K236" s="43" t="s">
        <v>56</v>
      </c>
      <c r="L236" s="43" t="s">
        <v>88</v>
      </c>
      <c r="M236" s="42" t="s">
        <v>590</v>
      </c>
      <c r="N236" s="43" t="s">
        <v>24</v>
      </c>
      <c r="O236" s="43" t="s">
        <v>786</v>
      </c>
      <c r="P236" s="44">
        <v>6000000</v>
      </c>
      <c r="Q236" s="45" t="s">
        <v>25</v>
      </c>
      <c r="R236" s="45" t="s">
        <v>26</v>
      </c>
      <c r="S236" s="42">
        <v>2029</v>
      </c>
      <c r="T236" s="46">
        <v>47208</v>
      </c>
      <c r="U236" s="47">
        <v>0.64</v>
      </c>
      <c r="V236" s="47">
        <v>0.15999999999999992</v>
      </c>
      <c r="W236" s="48">
        <f t="shared" si="64"/>
        <v>0.79999999999999993</v>
      </c>
      <c r="X236" s="47">
        <v>0.05</v>
      </c>
      <c r="Y236" s="47">
        <v>0.08</v>
      </c>
      <c r="Z236" s="47">
        <v>6.8000000000000005E-2</v>
      </c>
      <c r="AA236" s="53">
        <v>0.19800000000000001</v>
      </c>
      <c r="AB236" s="47">
        <v>0.20000000000000007</v>
      </c>
      <c r="AC236" s="51">
        <f>AI236*AJ236</f>
        <v>520000</v>
      </c>
      <c r="AD236" s="46"/>
      <c r="AE236" s="40">
        <f t="shared" si="65"/>
        <v>6</v>
      </c>
      <c r="AF236" s="53">
        <f t="shared" si="66"/>
        <v>2.3080030004039007E-2</v>
      </c>
      <c r="AG236" s="55">
        <f t="shared" si="67"/>
        <v>66.56</v>
      </c>
      <c r="AH236" s="40">
        <v>128</v>
      </c>
      <c r="AI236" s="40">
        <v>265.03567787971457</v>
      </c>
      <c r="AJ236" s="40">
        <v>1962</v>
      </c>
      <c r="AK236" s="40">
        <v>499.93269230769232</v>
      </c>
      <c r="AL236" s="55">
        <f t="shared" si="68"/>
        <v>259.96499999999997</v>
      </c>
      <c r="AM236" s="55">
        <f t="shared" si="69"/>
        <v>166.3776</v>
      </c>
      <c r="AN236" s="49">
        <v>132500</v>
      </c>
      <c r="AO236" s="57">
        <f t="shared" si="70"/>
        <v>33924.566768603465</v>
      </c>
      <c r="AP236" s="60">
        <f t="shared" si="71"/>
        <v>0.84000000000000008</v>
      </c>
      <c r="AQ236" s="61">
        <f t="shared" si="72"/>
        <v>3.0095176405733186</v>
      </c>
    </row>
    <row r="237" spans="1:43">
      <c r="A237" s="22" t="s">
        <v>453</v>
      </c>
      <c r="B237" s="22" t="s">
        <v>243</v>
      </c>
      <c r="C237" s="24" t="s">
        <v>411</v>
      </c>
      <c r="D237" s="25">
        <v>1</v>
      </c>
      <c r="E237" s="26" t="s">
        <v>769</v>
      </c>
      <c r="F237" s="20"/>
      <c r="G237" s="27">
        <v>2313</v>
      </c>
      <c r="H237" s="20"/>
      <c r="I237" s="20"/>
      <c r="J237" s="28">
        <v>191</v>
      </c>
      <c r="K237" s="29" t="s">
        <v>56</v>
      </c>
      <c r="L237" s="29" t="s">
        <v>88</v>
      </c>
      <c r="M237" s="28" t="s">
        <v>590</v>
      </c>
      <c r="N237" s="29" t="s">
        <v>24</v>
      </c>
      <c r="O237" s="29" t="s">
        <v>786</v>
      </c>
      <c r="P237" s="37">
        <v>6000000</v>
      </c>
      <c r="Q237" s="30" t="s">
        <v>25</v>
      </c>
      <c r="R237" s="30" t="s">
        <v>789</v>
      </c>
      <c r="S237" s="28">
        <v>2027</v>
      </c>
      <c r="T237" s="32">
        <v>46568</v>
      </c>
      <c r="U237" s="31">
        <v>0.442</v>
      </c>
      <c r="V237" s="31">
        <v>0.35</v>
      </c>
      <c r="W237" s="36">
        <f t="shared" si="64"/>
        <v>0.79200000000000004</v>
      </c>
      <c r="X237" s="31">
        <v>0.05</v>
      </c>
      <c r="Y237" s="31">
        <v>9.0000000000000011E-2</v>
      </c>
      <c r="Z237" s="31">
        <v>6.8000000000000005E-2</v>
      </c>
      <c r="AA237" s="52">
        <v>0.19800000000000001</v>
      </c>
      <c r="AB237" s="31">
        <v>0.20799999999999996</v>
      </c>
      <c r="AC237" s="50">
        <v>149177</v>
      </c>
      <c r="AD237" s="32"/>
      <c r="AE237" s="20">
        <f t="shared" si="65"/>
        <v>6</v>
      </c>
      <c r="AF237" s="52">
        <f t="shared" si="66"/>
        <v>7.3180013074829006E-2</v>
      </c>
      <c r="AG237" s="54">
        <f t="shared" si="67"/>
        <v>19.081216000000001</v>
      </c>
      <c r="AH237" s="20">
        <v>128</v>
      </c>
      <c r="AI237" s="20">
        <v>242</v>
      </c>
      <c r="AJ237" s="20">
        <v>616</v>
      </c>
      <c r="AK237" s="20">
        <v>550</v>
      </c>
      <c r="AL237" s="54">
        <f t="shared" si="68"/>
        <v>81.989599999999996</v>
      </c>
      <c r="AM237" s="54">
        <f t="shared" si="69"/>
        <v>36.239403199999998</v>
      </c>
      <c r="AN237" s="33">
        <v>121000</v>
      </c>
      <c r="AO237" s="56">
        <f t="shared" si="70"/>
        <v>30976</v>
      </c>
      <c r="AP237" s="58">
        <f t="shared" si="71"/>
        <v>0.64999999999999991</v>
      </c>
      <c r="AQ237" s="59">
        <f t="shared" si="72"/>
        <v>2.1248268026558197</v>
      </c>
    </row>
    <row r="238" spans="1:43">
      <c r="A238" s="22" t="s">
        <v>452</v>
      </c>
      <c r="B238" s="22" t="s">
        <v>244</v>
      </c>
      <c r="C238" s="24" t="s">
        <v>412</v>
      </c>
      <c r="D238" s="38">
        <v>1</v>
      </c>
      <c r="E238" s="39" t="s">
        <v>770</v>
      </c>
      <c r="F238" s="40"/>
      <c r="G238" s="41">
        <v>2039</v>
      </c>
      <c r="H238" s="40"/>
      <c r="I238" s="40"/>
      <c r="J238" s="42">
        <v>192</v>
      </c>
      <c r="K238" s="43" t="s">
        <v>56</v>
      </c>
      <c r="L238" s="43" t="s">
        <v>89</v>
      </c>
      <c r="M238" s="42" t="s">
        <v>600</v>
      </c>
      <c r="N238" s="43" t="s">
        <v>90</v>
      </c>
      <c r="O238" s="43" t="s">
        <v>790</v>
      </c>
      <c r="P238" s="44">
        <v>0</v>
      </c>
      <c r="Q238" s="45" t="s">
        <v>25</v>
      </c>
      <c r="R238" s="45" t="s">
        <v>26</v>
      </c>
      <c r="S238" s="42">
        <v>2026</v>
      </c>
      <c r="T238" s="46">
        <v>46203</v>
      </c>
      <c r="U238" s="47">
        <v>0.6</v>
      </c>
      <c r="V238" s="47">
        <v>0.30000000000000004</v>
      </c>
      <c r="W238" s="48">
        <f t="shared" si="64"/>
        <v>0.9</v>
      </c>
      <c r="X238" s="47">
        <v>0.05</v>
      </c>
      <c r="Y238" s="47">
        <v>9.5000000000000001E-2</v>
      </c>
      <c r="Z238" s="47">
        <v>6.8000000000000005E-2</v>
      </c>
      <c r="AA238" s="53">
        <v>0.19800000000000001</v>
      </c>
      <c r="AB238" s="47">
        <v>9.9999999999999978E-2</v>
      </c>
      <c r="AC238" s="51">
        <f>AI238*AJ238</f>
        <v>168948.74</v>
      </c>
      <c r="AD238" s="46"/>
      <c r="AE238" s="40">
        <f t="shared" si="65"/>
        <v>0</v>
      </c>
      <c r="AF238" s="53">
        <f t="shared" si="66"/>
        <v>0</v>
      </c>
      <c r="AG238" s="55">
        <f t="shared" si="67"/>
        <v>21.625438719999998</v>
      </c>
      <c r="AH238" s="40">
        <v>128</v>
      </c>
      <c r="AI238" s="40">
        <v>291.29093103448275</v>
      </c>
      <c r="AJ238" s="40">
        <v>580</v>
      </c>
      <c r="AK238" s="40">
        <v>650</v>
      </c>
      <c r="AL238" s="55">
        <f t="shared" si="68"/>
        <v>109.816681</v>
      </c>
      <c r="AM238" s="55">
        <f t="shared" si="69"/>
        <v>65.890008600000002</v>
      </c>
      <c r="AN238" s="49">
        <v>189339.10517241378</v>
      </c>
      <c r="AO238" s="57">
        <f t="shared" si="70"/>
        <v>37285.239172413792</v>
      </c>
      <c r="AP238" s="60">
        <f t="shared" si="71"/>
        <v>0.7</v>
      </c>
      <c r="AQ238" s="61">
        <f t="shared" si="72"/>
        <v>3.5546875</v>
      </c>
    </row>
    <row r="239" spans="1:43">
      <c r="A239" s="22" t="s">
        <v>454</v>
      </c>
      <c r="B239" s="22" t="s">
        <v>245</v>
      </c>
      <c r="C239" s="24" t="s">
        <v>412</v>
      </c>
      <c r="D239" s="25">
        <v>1</v>
      </c>
      <c r="E239" s="26" t="s">
        <v>770</v>
      </c>
      <c r="F239" s="20"/>
      <c r="G239" s="27">
        <v>2311</v>
      </c>
      <c r="H239" s="20"/>
      <c r="I239" s="20"/>
      <c r="J239" s="28">
        <v>193</v>
      </c>
      <c r="K239" s="29" t="s">
        <v>56</v>
      </c>
      <c r="L239" s="29" t="s">
        <v>89</v>
      </c>
      <c r="M239" s="28" t="s">
        <v>600</v>
      </c>
      <c r="N239" s="29" t="s">
        <v>91</v>
      </c>
      <c r="O239" s="29" t="s">
        <v>790</v>
      </c>
      <c r="P239" s="37">
        <v>0</v>
      </c>
      <c r="Q239" s="30" t="s">
        <v>25</v>
      </c>
      <c r="R239" s="30" t="s">
        <v>789</v>
      </c>
      <c r="S239" s="28">
        <v>2029</v>
      </c>
      <c r="T239" s="32">
        <v>47208</v>
      </c>
      <c r="U239" s="31">
        <v>0.6</v>
      </c>
      <c r="V239" s="31">
        <v>0.30000000000000004</v>
      </c>
      <c r="W239" s="36">
        <f t="shared" si="64"/>
        <v>0.9</v>
      </c>
      <c r="X239" s="31">
        <v>0.05</v>
      </c>
      <c r="Y239" s="31">
        <v>9.5000000000000001E-2</v>
      </c>
      <c r="Z239" s="31">
        <v>6.8000000000000005E-2</v>
      </c>
      <c r="AA239" s="52">
        <v>0.19800000000000001</v>
      </c>
      <c r="AB239" s="31">
        <v>9.9999999999999978E-2</v>
      </c>
      <c r="AC239" s="50">
        <f>AI239*AJ239</f>
        <v>375000</v>
      </c>
      <c r="AD239" s="32"/>
      <c r="AE239" s="20">
        <f t="shared" si="65"/>
        <v>0</v>
      </c>
      <c r="AF239" s="52">
        <f t="shared" si="66"/>
        <v>0</v>
      </c>
      <c r="AG239" s="54">
        <f t="shared" si="67"/>
        <v>48</v>
      </c>
      <c r="AH239" s="20">
        <v>128</v>
      </c>
      <c r="AI239" s="20">
        <v>250</v>
      </c>
      <c r="AJ239" s="20">
        <v>1500</v>
      </c>
      <c r="AK239" s="20">
        <v>550</v>
      </c>
      <c r="AL239" s="54">
        <f t="shared" si="68"/>
        <v>206.25</v>
      </c>
      <c r="AM239" s="54">
        <f t="shared" si="69"/>
        <v>123.75</v>
      </c>
      <c r="AN239" s="33">
        <v>137500</v>
      </c>
      <c r="AO239" s="56">
        <f t="shared" si="70"/>
        <v>32000</v>
      </c>
      <c r="AP239" s="58">
        <f t="shared" si="71"/>
        <v>0.7</v>
      </c>
      <c r="AQ239" s="59">
        <f t="shared" si="72"/>
        <v>3.0078125</v>
      </c>
    </row>
    <row r="240" spans="1:43">
      <c r="A240" s="22" t="s">
        <v>543</v>
      </c>
      <c r="B240" s="22" t="s">
        <v>422</v>
      </c>
      <c r="C240" s="24" t="s">
        <v>347</v>
      </c>
      <c r="D240" s="38">
        <v>1</v>
      </c>
      <c r="E240" s="39" t="s">
        <v>770</v>
      </c>
      <c r="F240" s="40"/>
      <c r="G240" s="41">
        <v>2314</v>
      </c>
      <c r="H240" s="40"/>
      <c r="I240" s="40"/>
      <c r="J240" s="42">
        <v>186</v>
      </c>
      <c r="K240" s="43" t="s">
        <v>56</v>
      </c>
      <c r="L240" s="43" t="s">
        <v>84</v>
      </c>
      <c r="M240" s="42" t="s">
        <v>589</v>
      </c>
      <c r="N240" s="43" t="s">
        <v>24</v>
      </c>
      <c r="O240" s="43" t="s">
        <v>790</v>
      </c>
      <c r="P240" s="44">
        <v>0</v>
      </c>
      <c r="Q240" s="45" t="s">
        <v>25</v>
      </c>
      <c r="R240" s="45" t="s">
        <v>26</v>
      </c>
      <c r="S240" s="42">
        <v>2035</v>
      </c>
      <c r="T240" s="46">
        <v>49674</v>
      </c>
      <c r="U240" s="47">
        <v>0.85719999999999996</v>
      </c>
      <c r="V240" s="47"/>
      <c r="W240" s="48">
        <f t="shared" si="64"/>
        <v>0.85719999999999996</v>
      </c>
      <c r="X240" s="47"/>
      <c r="Y240" s="47"/>
      <c r="Z240" s="47"/>
      <c r="AA240" s="53">
        <v>0.19800000000000001</v>
      </c>
      <c r="AB240" s="47">
        <v>0.14280000000000004</v>
      </c>
      <c r="AC240" s="51">
        <f>AI240*AJ240</f>
        <v>75499.999999900247</v>
      </c>
      <c r="AD240" s="46"/>
      <c r="AE240" s="40">
        <f t="shared" si="65"/>
        <v>0</v>
      </c>
      <c r="AF240" s="53">
        <f t="shared" si="66"/>
        <v>0</v>
      </c>
      <c r="AG240" s="55">
        <f t="shared" si="67"/>
        <v>8.1539999999892263</v>
      </c>
      <c r="AH240" s="40">
        <v>108</v>
      </c>
      <c r="AI240" s="40">
        <v>209.72222222194512</v>
      </c>
      <c r="AJ240" s="40">
        <v>360</v>
      </c>
      <c r="AK240" s="40">
        <v>350</v>
      </c>
      <c r="AL240" s="55">
        <f t="shared" si="68"/>
        <v>26.424999999965088</v>
      </c>
      <c r="AM240" s="55">
        <f t="shared" si="69"/>
        <v>22.651509999970074</v>
      </c>
      <c r="AN240" s="49">
        <v>73500</v>
      </c>
      <c r="AO240" s="57">
        <f t="shared" si="70"/>
        <v>22649.999999970074</v>
      </c>
      <c r="AP240" s="60">
        <f t="shared" si="71"/>
        <v>1</v>
      </c>
      <c r="AQ240" s="61">
        <f t="shared" si="72"/>
        <v>3.2407407407407409</v>
      </c>
    </row>
    <row r="241" spans="1:43">
      <c r="A241" s="22" t="s">
        <v>448</v>
      </c>
      <c r="B241" s="22" t="s">
        <v>423</v>
      </c>
      <c r="C241" s="24" t="s">
        <v>347</v>
      </c>
      <c r="D241" s="25">
        <v>1</v>
      </c>
      <c r="E241" s="26" t="s">
        <v>770</v>
      </c>
      <c r="F241" s="20"/>
      <c r="G241" s="27">
        <v>2314</v>
      </c>
      <c r="H241" s="20"/>
      <c r="I241" s="20"/>
      <c r="J241" s="28">
        <v>187</v>
      </c>
      <c r="K241" s="29" t="s">
        <v>56</v>
      </c>
      <c r="L241" s="29" t="s">
        <v>84</v>
      </c>
      <c r="M241" s="28" t="s">
        <v>589</v>
      </c>
      <c r="N241" s="29" t="s">
        <v>24</v>
      </c>
      <c r="O241" s="29" t="s">
        <v>790</v>
      </c>
      <c r="P241" s="37">
        <v>0</v>
      </c>
      <c r="Q241" s="30" t="s">
        <v>25</v>
      </c>
      <c r="R241" s="30" t="s">
        <v>26</v>
      </c>
      <c r="S241" s="28">
        <v>2035</v>
      </c>
      <c r="T241" s="32">
        <v>49674</v>
      </c>
      <c r="U241" s="31">
        <v>0.6</v>
      </c>
      <c r="V241" s="31"/>
      <c r="W241" s="36">
        <f t="shared" si="64"/>
        <v>0.6</v>
      </c>
      <c r="X241" s="31"/>
      <c r="Y241" s="31"/>
      <c r="Z241" s="31"/>
      <c r="AA241" s="52">
        <v>0.19800000000000001</v>
      </c>
      <c r="AB241" s="31">
        <v>0.4</v>
      </c>
      <c r="AC241" s="50">
        <f>AI241*AJ241</f>
        <v>79860</v>
      </c>
      <c r="AD241" s="32"/>
      <c r="AE241" s="20">
        <f t="shared" si="65"/>
        <v>0</v>
      </c>
      <c r="AF241" s="52">
        <f t="shared" si="66"/>
        <v>0</v>
      </c>
      <c r="AG241" s="54">
        <f t="shared" si="67"/>
        <v>8.6248799999999992</v>
      </c>
      <c r="AH241" s="20">
        <v>108</v>
      </c>
      <c r="AI241" s="20">
        <v>210.15789473684211</v>
      </c>
      <c r="AJ241" s="20">
        <v>380</v>
      </c>
      <c r="AK241" s="20">
        <v>350</v>
      </c>
      <c r="AL241" s="54">
        <f t="shared" si="68"/>
        <v>27.951000000000001</v>
      </c>
      <c r="AM241" s="54">
        <f t="shared" si="69"/>
        <v>16.770599999999998</v>
      </c>
      <c r="AN241" s="33">
        <v>73500</v>
      </c>
      <c r="AO241" s="56">
        <f t="shared" si="70"/>
        <v>22697.052631578947</v>
      </c>
      <c r="AP241" s="58">
        <f t="shared" si="71"/>
        <v>1</v>
      </c>
      <c r="AQ241" s="59">
        <f t="shared" si="72"/>
        <v>3.2407407407407409</v>
      </c>
    </row>
    <row r="242" spans="1:43">
      <c r="A242" s="22" t="s">
        <v>450</v>
      </c>
      <c r="B242" s="22" t="s">
        <v>241</v>
      </c>
      <c r="C242" s="24" t="s">
        <v>347</v>
      </c>
      <c r="D242" s="38">
        <v>1</v>
      </c>
      <c r="E242" s="39" t="s">
        <v>770</v>
      </c>
      <c r="F242" s="40"/>
      <c r="G242" s="41">
        <v>2315</v>
      </c>
      <c r="H242" s="40"/>
      <c r="I242" s="40"/>
      <c r="J242" s="42">
        <v>188</v>
      </c>
      <c r="K242" s="43" t="s">
        <v>56</v>
      </c>
      <c r="L242" s="43" t="s">
        <v>84</v>
      </c>
      <c r="M242" s="42" t="s">
        <v>589</v>
      </c>
      <c r="N242" s="43" t="s">
        <v>85</v>
      </c>
      <c r="O242" s="43" t="s">
        <v>790</v>
      </c>
      <c r="P242" s="44">
        <v>0</v>
      </c>
      <c r="Q242" s="45" t="s">
        <v>25</v>
      </c>
      <c r="R242" s="45" t="s">
        <v>26</v>
      </c>
      <c r="S242" s="42">
        <v>2026</v>
      </c>
      <c r="T242" s="46">
        <v>46387</v>
      </c>
      <c r="U242" s="47">
        <v>0.5323</v>
      </c>
      <c r="V242" s="47"/>
      <c r="W242" s="48">
        <f t="shared" si="64"/>
        <v>0.5323</v>
      </c>
      <c r="X242" s="47"/>
      <c r="Y242" s="47"/>
      <c r="Z242" s="47"/>
      <c r="AA242" s="53">
        <v>0.19800000000000001</v>
      </c>
      <c r="AB242" s="47">
        <v>0.4677</v>
      </c>
      <c r="AC242" s="51">
        <f>AI242*AJ242</f>
        <v>14607</v>
      </c>
      <c r="AD242" s="46"/>
      <c r="AE242" s="40">
        <f t="shared" si="65"/>
        <v>0</v>
      </c>
      <c r="AF242" s="53">
        <f t="shared" si="66"/>
        <v>0</v>
      </c>
      <c r="AG242" s="55">
        <f t="shared" si="67"/>
        <v>1.16856</v>
      </c>
      <c r="AH242" s="40">
        <v>80</v>
      </c>
      <c r="AI242" s="40">
        <v>14607</v>
      </c>
      <c r="AJ242" s="40">
        <v>1</v>
      </c>
      <c r="AK242" s="40">
        <v>500</v>
      </c>
      <c r="AL242" s="55">
        <f t="shared" si="68"/>
        <v>7.3034999999999997</v>
      </c>
      <c r="AM242" s="55">
        <f t="shared" si="69"/>
        <v>3.8876530499999999</v>
      </c>
      <c r="AN242" s="49">
        <v>7303500</v>
      </c>
      <c r="AO242" s="57">
        <f t="shared" si="70"/>
        <v>1168560</v>
      </c>
      <c r="AP242" s="60">
        <f t="shared" si="71"/>
        <v>1</v>
      </c>
      <c r="AQ242" s="62">
        <f t="shared" si="72"/>
        <v>6.2499999999999991</v>
      </c>
    </row>
    <row r="243" spans="1:43">
      <c r="A243" s="22" t="s">
        <v>451</v>
      </c>
      <c r="B243" s="22" t="s">
        <v>682</v>
      </c>
      <c r="C243" s="24" t="s">
        <v>348</v>
      </c>
      <c r="D243" s="25">
        <v>1</v>
      </c>
      <c r="E243" s="26" t="s">
        <v>770</v>
      </c>
      <c r="F243" s="20"/>
      <c r="G243" s="27">
        <v>2316</v>
      </c>
      <c r="H243" s="20"/>
      <c r="I243" s="20"/>
      <c r="J243" s="28">
        <v>189</v>
      </c>
      <c r="K243" s="29" t="s">
        <v>56</v>
      </c>
      <c r="L243" s="29" t="s">
        <v>86</v>
      </c>
      <c r="M243" s="28" t="s">
        <v>600</v>
      </c>
      <c r="N243" s="29" t="s">
        <v>87</v>
      </c>
      <c r="O243" s="29" t="s">
        <v>786</v>
      </c>
      <c r="P243" s="37">
        <v>4160000</v>
      </c>
      <c r="Q243" s="30" t="s">
        <v>25</v>
      </c>
      <c r="R243" s="30" t="s">
        <v>789</v>
      </c>
      <c r="S243" s="28">
        <v>2027</v>
      </c>
      <c r="T243" s="32">
        <v>46752</v>
      </c>
      <c r="U243" s="31">
        <v>0.71430000000000005</v>
      </c>
      <c r="V243" s="31"/>
      <c r="W243" s="36">
        <f t="shared" si="64"/>
        <v>0.71430000000000005</v>
      </c>
      <c r="X243" s="31"/>
      <c r="Y243" s="31"/>
      <c r="Z243" s="31"/>
      <c r="AA243" s="52">
        <v>0.19800000000000001</v>
      </c>
      <c r="AB243" s="31">
        <v>0.28569999999999995</v>
      </c>
      <c r="AC243" s="50">
        <v>205841</v>
      </c>
      <c r="AD243" s="32"/>
      <c r="AE243" s="20">
        <f t="shared" si="65"/>
        <v>4.16</v>
      </c>
      <c r="AF243" s="52">
        <f t="shared" si="66"/>
        <v>5.0502107491793409E-2</v>
      </c>
      <c r="AG243" s="54">
        <f t="shared" si="67"/>
        <v>22.240656000000001</v>
      </c>
      <c r="AH243" s="20">
        <v>108</v>
      </c>
      <c r="AI243" s="20">
        <v>262</v>
      </c>
      <c r="AJ243" s="20">
        <v>786</v>
      </c>
      <c r="AK243" s="20">
        <v>400</v>
      </c>
      <c r="AL243" s="54">
        <f t="shared" si="68"/>
        <v>82.372799999999998</v>
      </c>
      <c r="AM243" s="54">
        <f t="shared" si="69"/>
        <v>58.83889104</v>
      </c>
      <c r="AN243" s="33">
        <v>107120</v>
      </c>
      <c r="AO243" s="56">
        <f t="shared" si="70"/>
        <v>28296</v>
      </c>
      <c r="AP243" s="58">
        <f t="shared" si="71"/>
        <v>1</v>
      </c>
      <c r="AQ243" s="59">
        <f t="shared" si="72"/>
        <v>3.1201042883176839</v>
      </c>
    </row>
    <row r="244" spans="1:43">
      <c r="A244" s="17" t="s">
        <v>796</v>
      </c>
      <c r="D244" s="63">
        <v>1</v>
      </c>
      <c r="E244" s="64" t="s">
        <v>770</v>
      </c>
      <c r="F244" s="65"/>
      <c r="G244" s="65"/>
      <c r="H244" s="65"/>
      <c r="I244" s="65"/>
      <c r="J244" s="65"/>
      <c r="K244" s="66" t="s">
        <v>22</v>
      </c>
      <c r="L244" s="65" t="s">
        <v>30</v>
      </c>
      <c r="M244" s="67" t="s">
        <v>588</v>
      </c>
      <c r="N244" s="65" t="s">
        <v>24</v>
      </c>
      <c r="O244" s="65" t="s">
        <v>786</v>
      </c>
      <c r="P244" s="68">
        <v>27000000</v>
      </c>
      <c r="Q244" s="67" t="s">
        <v>25</v>
      </c>
      <c r="R244" s="67" t="s">
        <v>26</v>
      </c>
      <c r="S244" s="67" t="s">
        <v>26</v>
      </c>
      <c r="T244" s="67" t="s">
        <v>26</v>
      </c>
      <c r="U244" s="73">
        <v>1</v>
      </c>
      <c r="V244" s="65"/>
      <c r="W244" s="74">
        <f t="shared" ref="W244" si="74">SUM(U244:V244)</f>
        <v>1</v>
      </c>
      <c r="X244" s="65"/>
      <c r="Y244" s="65"/>
      <c r="Z244" s="65"/>
      <c r="AA244" s="65"/>
      <c r="AB244" s="65"/>
      <c r="AC244" s="72">
        <v>1070180</v>
      </c>
      <c r="AD244" s="65"/>
      <c r="AE244" s="69">
        <f t="shared" si="65"/>
        <v>27</v>
      </c>
      <c r="AF244" s="70">
        <v>1</v>
      </c>
      <c r="AG244" s="71">
        <v>24</v>
      </c>
      <c r="AH244" s="69">
        <v>133</v>
      </c>
      <c r="AI244" s="69">
        <v>219</v>
      </c>
      <c r="AJ244" s="69">
        <v>1375</v>
      </c>
      <c r="AK244" s="69">
        <v>600</v>
      </c>
      <c r="AL244" s="71">
        <f t="shared" ref="AL244" si="75">(AK244*AJ244*AI244)/10^6</f>
        <v>180.67500000000001</v>
      </c>
      <c r="AM244" s="71">
        <f t="shared" ref="AM244" si="76">AL244*U244</f>
        <v>180.67500000000001</v>
      </c>
      <c r="AN244" s="75">
        <v>131581</v>
      </c>
      <c r="AO244" s="77">
        <f t="shared" si="70"/>
        <v>29127</v>
      </c>
      <c r="AP244" s="76">
        <v>1</v>
      </c>
      <c r="AQ244" s="62">
        <f t="shared" ref="AQ244" si="77">AL244*AP244/(AG244+AE244)</f>
        <v>3.5426470588235297</v>
      </c>
    </row>
  </sheetData>
  <autoFilter ref="A1:AQ244" xr:uid="{9BB1E7F9-B7E0-4EE5-A96E-08F27078CA81}"/>
  <phoneticPr fontId="2" type="noConversion"/>
  <hyperlinks>
    <hyperlink ref="C38" r:id="rId1" xr:uid="{20D620E2-00D1-4632-9A20-0409C8AFCC74}"/>
    <hyperlink ref="C13:C16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43" r:id="rId3" xr:uid="{EB137398-0994-4734-BD13-E69812C4B75F}"/>
    <hyperlink ref="C51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234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235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243" r:id="rId7" xr:uid="{8294533D-9DB6-43F1-94EE-53FF69313595}"/>
    <hyperlink ref="C58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2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C85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84" r:id="rId11" xr:uid="{794E9FE4-42EB-4A70-B705-A68D82E55DC8}"/>
    <hyperlink ref="C83" r:id="rId12" xr:uid="{8D8DFB1C-A9A4-4875-A443-709B85DAC175}"/>
    <hyperlink ref="C203" r:id="rId13" xr:uid="{1D0D91EC-3933-4B7E-B1A0-BEFFA067EA2D}"/>
    <hyperlink ref="C202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193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185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183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186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187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184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188" r:id="rId21" xr:uid="{5816A84D-2931-4D0D-B87B-3ABFFF565D08}"/>
    <hyperlink ref="C152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147" r:id="rId23" xr:uid="{F22B29FD-053A-43F2-8A21-B094E498F72E}"/>
    <hyperlink ref="C95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142" r:id="rId25" xr:uid="{4C4F8584-1BD9-4A5A-829D-A1244D6C2412}"/>
    <hyperlink ref="C139" r:id="rId26" xr:uid="{598C45D5-6AA5-4910-A34B-C742A3F53AFD}"/>
    <hyperlink ref="C138" r:id="rId27" xr:uid="{0FE482AD-3A2F-48DD-88BC-A07DF30C1CE9}"/>
    <hyperlink ref="C115" r:id="rId28" xr:uid="{BC2FB67F-9675-4F55-B4B8-F5B5BFCEA93A}"/>
    <hyperlink ref="C113" r:id="rId29" xr:uid="{D0745649-57B2-4B41-BC8A-317C5D453C14}"/>
    <hyperlink ref="C112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151" r:id="rId31" xr:uid="{DFB1A41B-F8C8-4959-837A-5CC7D6163FE5}"/>
    <hyperlink ref="C24" r:id="rId32" xr:uid="{8410800C-2B42-46C3-880D-3308A296A4D5}"/>
    <hyperlink ref="C236" r:id="rId33" xr:uid="{478462C2-E6F6-4044-837B-29FC440AB955}"/>
    <hyperlink ref="C237" r:id="rId34" xr:uid="{EBB14039-CC37-458F-911C-6332FDD40D61}"/>
    <hyperlink ref="C16" r:id="rId35" xr:uid="{A52A0A10-142C-463C-BE2B-79C7E1A44988}"/>
    <hyperlink ref="C20" r:id="rId36" xr:uid="{FFBCE89E-F77E-45D1-9E88-1465EB7CBB9B}"/>
    <hyperlink ref="C21" r:id="rId37" xr:uid="{21E0DD0D-4E5A-4FD5-8D2B-6794A4FC1657}"/>
    <hyperlink ref="C88" r:id="rId3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  <hyperlink ref="C5" r:id="rId39" xr:uid="{0C46883C-8EB2-4B3A-9EE4-A53539B1FCFD}"/>
  </hyperlinks>
  <pageMargins left="0.511811024" right="0.511811024" top="0.78740157499999996" bottom="0.78740157499999996" header="0.31496062000000002" footer="0.31496062000000002"/>
  <legacy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F11F-08DB-49C9-A870-04968454306F}">
  <dimension ref="B1:R91"/>
  <sheetViews>
    <sheetView topLeftCell="A3" workbookViewId="0">
      <selection activeCell="B11" sqref="B11:C11"/>
    </sheetView>
  </sheetViews>
  <sheetFormatPr defaultRowHeight="14.5"/>
  <cols>
    <col min="2" max="2" width="9.81640625" bestFit="1" customWidth="1"/>
    <col min="3" max="3" width="11.7265625" customWidth="1"/>
    <col min="7" max="7" width="23.453125" bestFit="1" customWidth="1"/>
    <col min="10" max="10" width="2.54296875" customWidth="1"/>
    <col min="11" max="11" width="27.1796875" customWidth="1"/>
    <col min="12" max="12" width="23.453125" bestFit="1" customWidth="1"/>
    <col min="13" max="14" width="8.7265625" style="1"/>
    <col min="16" max="16" width="21.1796875" bestFit="1" customWidth="1"/>
  </cols>
  <sheetData>
    <row r="1" spans="2:18">
      <c r="G1">
        <f>COUNTA(_xlfn.ANCHORARRAY(G4))</f>
        <v>76</v>
      </c>
      <c r="H1">
        <f>COUNTA(_xlfn.ANCHORARRAY(H4))</f>
        <v>19</v>
      </c>
    </row>
    <row r="2" spans="2:18" ht="18.5">
      <c r="B2" s="7" t="s">
        <v>775</v>
      </c>
      <c r="G2" s="1">
        <f>G1-1</f>
        <v>75</v>
      </c>
      <c r="H2" s="1">
        <f>H1-1</f>
        <v>18</v>
      </c>
    </row>
    <row r="3" spans="2:18">
      <c r="G3" t="s">
        <v>780</v>
      </c>
      <c r="H3" t="s">
        <v>781</v>
      </c>
    </row>
    <row r="4" spans="2:18">
      <c r="B4" t="s">
        <v>736</v>
      </c>
      <c r="G4" t="str" cm="1">
        <f t="array" ref="G4:G79">_xlfn.UNIQUE(AREAS!L2:L1048576)</f>
        <v>BELA VISTA DE GOIÁS</v>
      </c>
      <c r="H4" t="str" cm="1">
        <f t="array" ref="H4:H22">_xlfn.UNIQUE(AREAS!M2:M1048576)</f>
        <v>GO</v>
      </c>
      <c r="J4" s="2"/>
      <c r="L4" s="1">
        <f>COUNTA(L6:L77)</f>
        <v>72</v>
      </c>
    </row>
    <row r="5" spans="2:18">
      <c r="B5" s="80">
        <f>COUNTA(AREAS!N2:N243)</f>
        <v>242</v>
      </c>
      <c r="C5" s="80"/>
      <c r="G5" t="str">
        <v>GOIÂNIA</v>
      </c>
      <c r="H5" t="str">
        <v>RO</v>
      </c>
      <c r="J5" s="2"/>
      <c r="L5" s="5" t="s">
        <v>3</v>
      </c>
      <c r="M5" s="5" t="s">
        <v>737</v>
      </c>
      <c r="N5" s="5" t="s">
        <v>735</v>
      </c>
      <c r="P5" s="3" t="s">
        <v>23</v>
      </c>
      <c r="Q5" s="4">
        <f>COUNTIF(AREAS!L:L,Planilha2!P5)</f>
        <v>1</v>
      </c>
      <c r="R5" s="4" t="str">
        <f>_xlfn.XLOOKUP(P5,AREAS!L:L,AREAS!D:D,"não")</f>
        <v>Ativo</v>
      </c>
    </row>
    <row r="6" spans="2:18">
      <c r="G6" t="str">
        <v>PORTO VELHO</v>
      </c>
      <c r="H6" t="str">
        <v>AL</v>
      </c>
      <c r="K6" s="6" t="s">
        <v>173</v>
      </c>
      <c r="L6" t="s">
        <v>27</v>
      </c>
      <c r="M6" s="1">
        <f>COUNTIF(AREAS!L:L,Planilha2!L6)</f>
        <v>2</v>
      </c>
      <c r="N6" s="1">
        <f>_xlfn.XLOOKUP(L6,AREAS!L:L,AREAS!D:D,"não")</f>
        <v>1</v>
      </c>
      <c r="P6" s="3" t="s">
        <v>30</v>
      </c>
      <c r="Q6" s="4">
        <v>5</v>
      </c>
      <c r="R6" s="4">
        <v>0</v>
      </c>
    </row>
    <row r="7" spans="2:18">
      <c r="B7" t="s">
        <v>776</v>
      </c>
      <c r="C7" t="s">
        <v>777</v>
      </c>
      <c r="G7" t="str">
        <v>CALDAS NOVAS</v>
      </c>
      <c r="H7" t="str">
        <v>PB</v>
      </c>
      <c r="K7" s="6" t="s">
        <v>93</v>
      </c>
      <c r="L7" t="s">
        <v>150</v>
      </c>
      <c r="M7" s="1">
        <f>COUNTIF(AREAS!L:L,Planilha2!L7)</f>
        <v>1</v>
      </c>
      <c r="N7" s="1">
        <f>_xlfn.XLOOKUP(L7,AREAS!L:L,AREAS!D:D,"não")</f>
        <v>1</v>
      </c>
      <c r="P7" s="3" t="s">
        <v>151</v>
      </c>
      <c r="Q7" s="4">
        <f>COUNTIF(AREAS!L:L,Planilha2!P7)</f>
        <v>2</v>
      </c>
      <c r="R7" s="4">
        <f>_xlfn.XLOOKUP(P7,AREAS!L:L,AREAS!D:D,"não")</f>
        <v>0</v>
      </c>
    </row>
    <row r="8" spans="2:18">
      <c r="B8" s="8">
        <f>G2</f>
        <v>75</v>
      </c>
      <c r="C8" s="9">
        <f>H2</f>
        <v>18</v>
      </c>
      <c r="G8" t="str">
        <v>ARAPIRACA</v>
      </c>
      <c r="H8" t="str">
        <v>SE</v>
      </c>
      <c r="K8" s="6" t="s">
        <v>96</v>
      </c>
      <c r="L8" t="s">
        <v>606</v>
      </c>
      <c r="M8" s="1">
        <f>COUNTIF(AREAS!L:L,Planilha2!L8)</f>
        <v>2</v>
      </c>
      <c r="N8" s="1">
        <f>_xlfn.XLOOKUP(L8,AREAS!L:L,AREAS!D:D,"não")</f>
        <v>1</v>
      </c>
    </row>
    <row r="9" spans="2:18">
      <c r="G9" t="str">
        <v>MARECHAL DEODORO</v>
      </c>
      <c r="H9" t="str">
        <v>CE</v>
      </c>
      <c r="K9" s="6" t="s">
        <v>101</v>
      </c>
      <c r="L9" t="s">
        <v>133</v>
      </c>
      <c r="M9" s="1">
        <f>COUNTIF(AREAS!L:L,Planilha2!L9)</f>
        <v>7</v>
      </c>
      <c r="N9" s="1">
        <f>_xlfn.XLOOKUP(L9,AREAS!L:L,AREAS!D:D,"não")</f>
        <v>1</v>
      </c>
    </row>
    <row r="10" spans="2:18">
      <c r="B10" s="78" t="s">
        <v>19</v>
      </c>
      <c r="C10" s="78"/>
      <c r="G10" t="str">
        <v>RIO LARGO</v>
      </c>
      <c r="H10" t="str">
        <v>MA</v>
      </c>
      <c r="K10" s="6" t="s">
        <v>98</v>
      </c>
      <c r="L10" t="s">
        <v>37</v>
      </c>
      <c r="M10" s="1">
        <f>COUNTIF(AREAS!L:L,Planilha2!L10)</f>
        <v>2</v>
      </c>
      <c r="N10" s="1">
        <f>_xlfn.XLOOKUP(L10,AREAS!L:L,AREAS!D:D,"não")</f>
        <v>1</v>
      </c>
    </row>
    <row r="11" spans="2:18">
      <c r="B11" s="79">
        <f>SUM(AREAS!AJ2:AJ243)</f>
        <v>207735.0182683983</v>
      </c>
      <c r="C11" s="79"/>
      <c r="G11" t="str">
        <v>PENEDO</v>
      </c>
      <c r="H11" t="str">
        <v>PA</v>
      </c>
      <c r="K11" s="6" t="s">
        <v>738</v>
      </c>
      <c r="L11" t="s">
        <v>40</v>
      </c>
      <c r="M11" s="1">
        <f>COUNTIF(AREAS!L:L,Planilha2!L11)</f>
        <v>5</v>
      </c>
      <c r="N11" s="1">
        <f>_xlfn.XLOOKUP(L11,AREAS!L:L,AREAS!D:D,"não")</f>
        <v>1</v>
      </c>
    </row>
    <row r="12" spans="2:18">
      <c r="G12" t="str">
        <v>ALAGOINHA</v>
      </c>
      <c r="H12" t="str">
        <v>MT</v>
      </c>
      <c r="K12" s="6" t="s">
        <v>739</v>
      </c>
      <c r="L12" t="s">
        <v>45</v>
      </c>
      <c r="M12" s="1">
        <f>COUNTIF(AREAS!L:L,Planilha2!L12)</f>
        <v>1</v>
      </c>
      <c r="N12" s="1">
        <f>_xlfn.XLOOKUP(L12,AREAS!L:L,AREAS!D:D,"não")</f>
        <v>1</v>
      </c>
    </row>
    <row r="13" spans="2:18">
      <c r="B13" t="s">
        <v>778</v>
      </c>
      <c r="G13" t="str">
        <v>BARRA DOS COQUEIROS</v>
      </c>
      <c r="H13" t="str">
        <v>AC</v>
      </c>
      <c r="K13" s="6" t="s">
        <v>88</v>
      </c>
      <c r="L13" t="s">
        <v>47</v>
      </c>
      <c r="M13" s="1">
        <f>COUNTIF(AREAS!L:L,Planilha2!L13)</f>
        <v>7</v>
      </c>
      <c r="N13" s="1">
        <f>_xlfn.XLOOKUP(L13,AREAS!L:L,AREAS!D:D,"não")</f>
        <v>1</v>
      </c>
    </row>
    <row r="14" spans="2:18">
      <c r="B14" s="10">
        <f>SUM(AREAS!AC2:AC243)</f>
        <v>52559401.843334794</v>
      </c>
      <c r="C14" s="11">
        <f>B14/10000</f>
        <v>5255.940184333479</v>
      </c>
      <c r="G14" t="str">
        <v>CRATO</v>
      </c>
      <c r="H14" t="str">
        <v>ES</v>
      </c>
      <c r="K14" s="6" t="s">
        <v>107</v>
      </c>
      <c r="L14" t="s">
        <v>55</v>
      </c>
      <c r="M14" s="1">
        <f>COUNTIF(AREAS!L:L,Planilha2!L14)</f>
        <v>1</v>
      </c>
      <c r="N14" s="1">
        <f>_xlfn.XLOOKUP(L14,AREAS!L:L,AREAS!D:D,"não")</f>
        <v>1</v>
      </c>
    </row>
    <row r="15" spans="2:18">
      <c r="G15" t="str">
        <v>ITAPIPOCA</v>
      </c>
      <c r="H15" t="str">
        <v>SP</v>
      </c>
      <c r="K15" s="6" t="s">
        <v>109</v>
      </c>
      <c r="L15" t="s">
        <v>57</v>
      </c>
      <c r="M15" s="1">
        <f>COUNTIF(AREAS!L:L,Planilha2!L15)</f>
        <v>25</v>
      </c>
      <c r="N15" s="1">
        <f>_xlfn.XLOOKUP(L15,AREAS!L:L,AREAS!D:D,"não")</f>
        <v>1</v>
      </c>
    </row>
    <row r="16" spans="2:18">
      <c r="B16" t="s">
        <v>782</v>
      </c>
      <c r="G16" t="str">
        <v>TAUÁ</v>
      </c>
      <c r="H16" t="str">
        <v>MG</v>
      </c>
      <c r="K16" s="6" t="s">
        <v>111</v>
      </c>
      <c r="L16" t="s">
        <v>88</v>
      </c>
      <c r="M16" s="1">
        <f>COUNTIF(AREAS!L:L,Planilha2!L16)</f>
        <v>2</v>
      </c>
      <c r="N16" s="1">
        <f>_xlfn.XLOOKUP(L16,AREAS!L:L,AREAS!D:D,"não")</f>
        <v>1</v>
      </c>
    </row>
    <row r="17" spans="2:14">
      <c r="B17" s="81">
        <f>SUM(AREAS!AL2:AL243)</f>
        <v>33376.909494610147</v>
      </c>
      <c r="C17" s="82"/>
      <c r="G17" t="str">
        <v>BALSAS</v>
      </c>
      <c r="H17" t="str">
        <v>RJ</v>
      </c>
      <c r="K17" s="6" t="s">
        <v>120</v>
      </c>
      <c r="L17" t="s">
        <v>89</v>
      </c>
      <c r="M17" s="1">
        <f>COUNTIF(AREAS!L:L,Planilha2!L17)</f>
        <v>2</v>
      </c>
      <c r="N17" s="1">
        <f>_xlfn.XLOOKUP(L17,AREAS!L:L,AREAS!D:D,"não")</f>
        <v>1</v>
      </c>
    </row>
    <row r="18" spans="2:14">
      <c r="B18" t="s">
        <v>779</v>
      </c>
      <c r="G18" t="str">
        <v>ELDORADO DO CARAJAS</v>
      </c>
      <c r="H18" t="str">
        <v>RS</v>
      </c>
      <c r="K18" s="6" t="s">
        <v>585</v>
      </c>
      <c r="L18" t="s">
        <v>93</v>
      </c>
      <c r="M18" s="1">
        <f>COUNTIF(AREAS!L:L,Planilha2!L18)</f>
        <v>2</v>
      </c>
      <c r="N18" s="1">
        <f>_xlfn.XLOOKUP(L18,AREAS!L:L,AREAS!D:D,"não")</f>
        <v>1</v>
      </c>
    </row>
    <row r="19" spans="2:14">
      <c r="B19" s="79">
        <f>SUM(AREAS!AM2:AM243)</f>
        <v>20967.496404090001</v>
      </c>
      <c r="C19" s="79"/>
      <c r="G19" t="str">
        <v>PARAGOMINAS</v>
      </c>
      <c r="H19" t="str">
        <v>TO</v>
      </c>
      <c r="K19" s="6" t="s">
        <v>583</v>
      </c>
      <c r="L19" t="s">
        <v>96</v>
      </c>
      <c r="M19" s="1">
        <f>COUNTIF(AREAS!L:L,Planilha2!L19)</f>
        <v>1</v>
      </c>
      <c r="N19" s="1">
        <f>_xlfn.XLOOKUP(L19,AREAS!L:L,AREAS!D:D,"não")</f>
        <v>1</v>
      </c>
    </row>
    <row r="20" spans="2:14">
      <c r="G20" t="str">
        <v>REDENÇÃO</v>
      </c>
      <c r="H20" t="str">
        <v>PR</v>
      </c>
      <c r="K20" s="6" t="s">
        <v>89</v>
      </c>
      <c r="L20" t="s">
        <v>98</v>
      </c>
      <c r="M20" s="1">
        <f>COUNTIF(AREAS!L:L,Planilha2!L20)</f>
        <v>3</v>
      </c>
      <c r="N20" s="1">
        <f>_xlfn.XLOOKUP(L20,AREAS!L:L,AREAS!D:D,"não")</f>
        <v>1</v>
      </c>
    </row>
    <row r="21" spans="2:14">
      <c r="G21" t="str">
        <v>SANTARÉM</v>
      </c>
      <c r="H21" t="str">
        <v>BA</v>
      </c>
      <c r="K21" s="6" t="s">
        <v>196</v>
      </c>
      <c r="L21" t="s">
        <v>101</v>
      </c>
      <c r="M21" s="1">
        <f>COUNTIF(AREAS!L:L,Planilha2!L21)</f>
        <v>1</v>
      </c>
      <c r="N21" s="1">
        <f>_xlfn.XLOOKUP(L21,AREAS!L:L,AREAS!D:D,"não")</f>
        <v>1</v>
      </c>
    </row>
    <row r="22" spans="2:14">
      <c r="G22" t="str">
        <v>XINGUARA</v>
      </c>
      <c r="H22">
        <v>0</v>
      </c>
      <c r="K22" s="6" t="s">
        <v>567</v>
      </c>
      <c r="L22" t="s">
        <v>102</v>
      </c>
      <c r="M22" s="1">
        <f>COUNTIF(AREAS!L:L,Planilha2!L22)</f>
        <v>1</v>
      </c>
      <c r="N22" s="1">
        <f>_xlfn.XLOOKUP(L22,AREAS!L:L,AREAS!D:D,"não")</f>
        <v>1</v>
      </c>
    </row>
    <row r="23" spans="2:14">
      <c r="G23" t="str">
        <v>SANTANA DO ARAGUAIA</v>
      </c>
      <c r="K23" s="6" t="s">
        <v>740</v>
      </c>
      <c r="L23" t="s">
        <v>104</v>
      </c>
      <c r="M23" s="1">
        <f>COUNTIF(AREAS!L:L,Planilha2!L23)</f>
        <v>2</v>
      </c>
      <c r="N23" s="1">
        <f>_xlfn.XLOOKUP(L23,AREAS!L:L,AREAS!D:D,"não")</f>
        <v>1</v>
      </c>
    </row>
    <row r="24" spans="2:14">
      <c r="G24" t="str">
        <v>OURILÂNDIA DO NORTE</v>
      </c>
      <c r="K24" s="6" t="s">
        <v>741</v>
      </c>
      <c r="L24" t="s">
        <v>107</v>
      </c>
      <c r="M24" s="1">
        <f>COUNTIF(AREAS!L:L,Planilha2!L24)</f>
        <v>1</v>
      </c>
      <c r="N24" s="1">
        <f>_xlfn.XLOOKUP(L24,AREAS!L:L,AREAS!D:D,"não")</f>
        <v>1</v>
      </c>
    </row>
    <row r="25" spans="2:14">
      <c r="G25" t="str">
        <v xml:space="preserve">PARAUAPEBAS </v>
      </c>
      <c r="K25" s="6" t="s">
        <v>742</v>
      </c>
      <c r="L25" t="s">
        <v>109</v>
      </c>
      <c r="M25" s="1">
        <f>COUNTIF(AREAS!L:L,Planilha2!L25)</f>
        <v>2</v>
      </c>
      <c r="N25" s="1">
        <f>_xlfn.XLOOKUP(L25,AREAS!L:L,AREAS!D:D,"não")</f>
        <v>1</v>
      </c>
    </row>
    <row r="26" spans="2:14">
      <c r="G26" t="str">
        <v>CONCEIÇÃO DO ARAGUAIA</v>
      </c>
      <c r="K26" s="6" t="s">
        <v>114</v>
      </c>
      <c r="L26" t="s">
        <v>111</v>
      </c>
      <c r="M26" s="1">
        <f>COUNTIF(AREAS!L:L,Planilha2!L26)</f>
        <v>2</v>
      </c>
      <c r="N26" s="1">
        <f>_xlfn.XLOOKUP(L26,AREAS!L:L,AREAS!D:D,"não")</f>
        <v>1</v>
      </c>
    </row>
    <row r="27" spans="2:14">
      <c r="G27" t="str">
        <v>VARZEA GRANDE</v>
      </c>
      <c r="K27" s="6" t="s">
        <v>117</v>
      </c>
      <c r="L27" t="s">
        <v>114</v>
      </c>
      <c r="M27" s="1">
        <f>COUNTIF(AREAS!L:L,Planilha2!L27)</f>
        <v>4</v>
      </c>
      <c r="N27" s="1">
        <f>_xlfn.XLOOKUP(L27,AREAS!L:L,AREAS!D:D,"não")</f>
        <v>1</v>
      </c>
    </row>
    <row r="28" spans="2:14">
      <c r="G28" t="str">
        <v>RIO BRANCO</v>
      </c>
      <c r="K28" s="6" t="s">
        <v>743</v>
      </c>
      <c r="L28" t="s">
        <v>117</v>
      </c>
      <c r="M28" s="1">
        <f>COUNTIF(AREAS!L:L,Planilha2!L28)</f>
        <v>3</v>
      </c>
      <c r="N28" s="1">
        <f>_xlfn.XLOOKUP(L28,AREAS!L:L,AREAS!D:D,"não")</f>
        <v>1</v>
      </c>
    </row>
    <row r="29" spans="2:14">
      <c r="G29" t="str">
        <v>CÁCERES</v>
      </c>
      <c r="K29" s="6" t="s">
        <v>744</v>
      </c>
      <c r="L29" t="s">
        <v>604</v>
      </c>
      <c r="M29" s="1">
        <f>COUNTIF(AREAS!L:L,Planilha2!L29)</f>
        <v>5</v>
      </c>
      <c r="N29" s="1">
        <f>_xlfn.XLOOKUP(L29,AREAS!L:L,AREAS!D:D,"não")</f>
        <v>1</v>
      </c>
    </row>
    <row r="30" spans="2:14">
      <c r="G30" t="str">
        <v>TANGARÁ DA SERRA</v>
      </c>
      <c r="K30" s="6" t="s">
        <v>745</v>
      </c>
      <c r="L30" t="s">
        <v>120</v>
      </c>
      <c r="M30" s="1">
        <f>COUNTIF(AREAS!L:L,Planilha2!L30)</f>
        <v>4</v>
      </c>
      <c r="N30" s="1">
        <f>_xlfn.XLOOKUP(L30,AREAS!L:L,AREAS!D:D,"não")</f>
        <v>1</v>
      </c>
    </row>
    <row r="31" spans="2:14">
      <c r="G31" t="str">
        <v>CUIABÁ</v>
      </c>
      <c r="K31" s="6" t="s">
        <v>571</v>
      </c>
      <c r="L31" t="s">
        <v>586</v>
      </c>
      <c r="M31" s="1">
        <f>COUNTIF(AREAS!L:L,Planilha2!L31)</f>
        <v>1</v>
      </c>
      <c r="N31" s="1">
        <f>_xlfn.XLOOKUP(L31,AREAS!L:L,AREAS!D:D,"não")</f>
        <v>1</v>
      </c>
    </row>
    <row r="32" spans="2:14">
      <c r="G32" t="str">
        <v>CACOAL</v>
      </c>
      <c r="K32" s="6" t="s">
        <v>184</v>
      </c>
      <c r="L32" t="s">
        <v>125</v>
      </c>
      <c r="M32" s="1">
        <f>COUNTIF(AREAS!L:L,Planilha2!L32)</f>
        <v>4</v>
      </c>
      <c r="N32" s="1">
        <f>_xlfn.XLOOKUP(L32,AREAS!L:L,AREAS!D:D,"não")</f>
        <v>1</v>
      </c>
    </row>
    <row r="33" spans="7:14">
      <c r="G33" t="str">
        <v>JI-PARANÁ</v>
      </c>
      <c r="K33" s="6" t="s">
        <v>178</v>
      </c>
      <c r="L33" t="s">
        <v>84</v>
      </c>
      <c r="M33" s="1">
        <f>COUNTIF(AREAS!L:L,Planilha2!L33)</f>
        <v>3</v>
      </c>
      <c r="N33" s="1">
        <f>_xlfn.XLOOKUP(L33,AREAS!L:L,AREAS!D:D,"não")</f>
        <v>1</v>
      </c>
    </row>
    <row r="34" spans="7:14">
      <c r="G34" t="str">
        <v>ROLIM DE MOURA</v>
      </c>
      <c r="K34" s="6" t="s">
        <v>180</v>
      </c>
      <c r="L34" t="s">
        <v>128</v>
      </c>
      <c r="M34" s="1">
        <f>COUNTIF(AREAS!L:L,Planilha2!L34)</f>
        <v>2</v>
      </c>
      <c r="N34" s="1">
        <f>_xlfn.XLOOKUP(L34,AREAS!L:L,AREAS!D:D,"não")</f>
        <v>1</v>
      </c>
    </row>
    <row r="35" spans="7:14">
      <c r="G35" t="str">
        <v>ARIQUEMES</v>
      </c>
      <c r="K35" s="6" t="s">
        <v>746</v>
      </c>
      <c r="L35" t="s">
        <v>130</v>
      </c>
      <c r="M35" s="1">
        <f>COUNTIF(AREAS!L:L,Planilha2!L35)</f>
        <v>5</v>
      </c>
      <c r="N35" s="1">
        <f>_xlfn.XLOOKUP(L35,AREAS!L:L,AREAS!D:D,"não")</f>
        <v>1</v>
      </c>
    </row>
    <row r="36" spans="7:14">
      <c r="G36" t="str">
        <v>CHAPADA DOS GUIMARÃES</v>
      </c>
      <c r="K36" s="6" t="s">
        <v>747</v>
      </c>
      <c r="L36" t="s">
        <v>132</v>
      </c>
      <c r="M36" s="1">
        <f>COUNTIF(AREAS!L:L,Planilha2!L36)</f>
        <v>2</v>
      </c>
      <c r="N36" s="1">
        <f>_xlfn.XLOOKUP(L36,AREAS!L:L,AREAS!D:D,"não")</f>
        <v>1</v>
      </c>
    </row>
    <row r="37" spans="7:14">
      <c r="G37" t="str">
        <v>GUARANTÃ DO NORTE</v>
      </c>
      <c r="K37" s="6" t="s">
        <v>194</v>
      </c>
      <c r="L37" s="3" t="s">
        <v>30</v>
      </c>
      <c r="M37" s="4">
        <v>1</v>
      </c>
      <c r="N37" s="4">
        <f>_xlfn.XLOOKUP(L37,AREAS!L:L,AREAS!D:D,"não")</f>
        <v>1</v>
      </c>
    </row>
    <row r="38" spans="7:14">
      <c r="G38" t="str">
        <v>COLATINA</v>
      </c>
      <c r="K38" s="6" t="s">
        <v>748</v>
      </c>
      <c r="L38" t="s">
        <v>86</v>
      </c>
      <c r="M38" s="1">
        <f>COUNTIF(AREAS!L:L,Planilha2!L38)</f>
        <v>1</v>
      </c>
      <c r="N38" s="1">
        <f>_xlfn.XLOOKUP(L38,AREAS!L:L,AREAS!D:D,"não")</f>
        <v>1</v>
      </c>
    </row>
    <row r="39" spans="7:14">
      <c r="G39" t="str">
        <v>FERNANDOPOLIS</v>
      </c>
      <c r="K39" s="6" t="s">
        <v>749</v>
      </c>
      <c r="L39" t="s">
        <v>137</v>
      </c>
      <c r="M39" s="1">
        <f>COUNTIF(AREAS!L:L,Planilha2!L39)</f>
        <v>6</v>
      </c>
      <c r="N39" s="1">
        <f>_xlfn.XLOOKUP(L39,AREAS!L:L,AREAS!D:D,"não")</f>
        <v>1</v>
      </c>
    </row>
    <row r="40" spans="7:14">
      <c r="G40" t="str">
        <v>ITAPETININGA</v>
      </c>
      <c r="K40" s="6" t="s">
        <v>750</v>
      </c>
      <c r="L40" t="s">
        <v>138</v>
      </c>
      <c r="M40" s="1">
        <f>COUNTIF(AREAS!L:L,Planilha2!L40)</f>
        <v>6</v>
      </c>
      <c r="N40" s="1">
        <f>_xlfn.XLOOKUP(L40,AREAS!L:L,AREAS!D:D,"não")</f>
        <v>1</v>
      </c>
    </row>
    <row r="41" spans="7:14">
      <c r="G41" t="str">
        <v xml:space="preserve">ITAPETININGA </v>
      </c>
      <c r="K41" s="6" t="s">
        <v>55</v>
      </c>
      <c r="L41" t="s">
        <v>145</v>
      </c>
      <c r="M41" s="1">
        <f>COUNTIF(AREAS!L:L,Planilha2!L41)</f>
        <v>1</v>
      </c>
      <c r="N41" s="1">
        <f>_xlfn.XLOOKUP(L41,AREAS!L:L,AREAS!D:D,"não")</f>
        <v>1</v>
      </c>
    </row>
    <row r="42" spans="7:14">
      <c r="G42" t="str">
        <v>MONTES CLAROS</v>
      </c>
      <c r="K42" s="6" t="s">
        <v>27</v>
      </c>
      <c r="L42" t="s">
        <v>147</v>
      </c>
      <c r="M42" s="1">
        <f>COUNTIF(AREAS!L:L,Planilha2!L42)</f>
        <v>2</v>
      </c>
      <c r="N42" s="1">
        <f>_xlfn.XLOOKUP(L42,AREAS!L:L,AREAS!D:D,"não")</f>
        <v>1</v>
      </c>
    </row>
    <row r="43" spans="7:14">
      <c r="G43" t="str">
        <v>ITATIAIA</v>
      </c>
      <c r="K43" s="6" t="s">
        <v>751</v>
      </c>
      <c r="L43" t="s">
        <v>166</v>
      </c>
      <c r="M43" s="1">
        <f>COUNTIF(AREAS!L:L,Planilha2!L43)</f>
        <v>0</v>
      </c>
      <c r="N43" s="1" t="str">
        <f>_xlfn.XLOOKUP(L43,AREAS!L:L,AREAS!D:D,"não")</f>
        <v>não</v>
      </c>
    </row>
    <row r="44" spans="7:14">
      <c r="G44" t="str">
        <v>VARGEM GRANDE</v>
      </c>
      <c r="K44" s="6" t="s">
        <v>37</v>
      </c>
      <c r="L44" t="s">
        <v>152</v>
      </c>
      <c r="M44" s="1">
        <f>COUNTIF(AREAS!L:L,Planilha2!L44)</f>
        <v>1</v>
      </c>
      <c r="N44" s="1">
        <f>_xlfn.XLOOKUP(L44,AREAS!L:L,AREAS!D:D,"não")</f>
        <v>1</v>
      </c>
    </row>
    <row r="45" spans="7:14">
      <c r="G45" t="str">
        <v>DUQUE DE CAXIAS</v>
      </c>
      <c r="K45" s="6" t="s">
        <v>47</v>
      </c>
      <c r="L45" t="s">
        <v>155</v>
      </c>
      <c r="M45" s="1">
        <f>COUNTIF(AREAS!L:L,Planilha2!L45)</f>
        <v>3</v>
      </c>
      <c r="N45" s="1">
        <f>_xlfn.XLOOKUP(L45,AREAS!L:L,AREAS!D:D,"não")</f>
        <v>1</v>
      </c>
    </row>
    <row r="46" spans="7:14">
      <c r="G46" t="str">
        <v>ITABORAÍ</v>
      </c>
      <c r="K46" s="6" t="s">
        <v>40</v>
      </c>
      <c r="L46" t="s">
        <v>157</v>
      </c>
      <c r="M46" s="1">
        <f>COUNTIF(AREAS!L:L,Planilha2!L46)</f>
        <v>4</v>
      </c>
      <c r="N46" s="1">
        <f>_xlfn.XLOOKUP(L46,AREAS!L:L,AREAS!D:D,"não")</f>
        <v>1</v>
      </c>
    </row>
    <row r="47" spans="7:14">
      <c r="G47" t="str">
        <v>MACAE</v>
      </c>
      <c r="K47" s="6" t="s">
        <v>752</v>
      </c>
      <c r="L47" t="s">
        <v>158</v>
      </c>
      <c r="M47" s="1">
        <f>COUNTIF(AREAS!L:L,Planilha2!L47)</f>
        <v>5</v>
      </c>
      <c r="N47" s="1">
        <f>_xlfn.XLOOKUP(L47,AREAS!L:L,AREAS!D:D,"não")</f>
        <v>1</v>
      </c>
    </row>
    <row r="48" spans="7:14">
      <c r="G48" t="str">
        <v>ARRAIAL DO CABO</v>
      </c>
      <c r="K48" s="6" t="s">
        <v>753</v>
      </c>
      <c r="L48" t="s">
        <v>159</v>
      </c>
      <c r="M48" s="1">
        <f>COUNTIF(AREAS!L:L,Planilha2!L48)</f>
        <v>12</v>
      </c>
      <c r="N48" s="1">
        <f>_xlfn.XLOOKUP(L48,AREAS!L:L,AREAS!D:D,"não")</f>
        <v>1</v>
      </c>
    </row>
    <row r="49" spans="7:14">
      <c r="G49" t="str">
        <v>LORENA</v>
      </c>
      <c r="K49" s="6" t="s">
        <v>45</v>
      </c>
      <c r="L49" t="s">
        <v>160</v>
      </c>
      <c r="M49" s="1">
        <f>COUNTIF(AREAS!L:L,Planilha2!L49)</f>
        <v>2</v>
      </c>
      <c r="N49" s="1">
        <f>_xlfn.XLOOKUP(L49,AREAS!L:L,AREAS!D:D,"não")</f>
        <v>1</v>
      </c>
    </row>
    <row r="50" spans="7:14">
      <c r="G50" t="str">
        <v>PRESIDENTE PRUDENTE</v>
      </c>
      <c r="K50" s="6" t="s">
        <v>170</v>
      </c>
      <c r="L50" t="s">
        <v>161</v>
      </c>
      <c r="M50" s="1">
        <f>COUNTIF(AREAS!L:L,Planilha2!L50)</f>
        <v>4</v>
      </c>
      <c r="N50" s="1">
        <f>_xlfn.XLOOKUP(L50,AREAS!L:L,AREAS!D:D,"não")</f>
        <v>1</v>
      </c>
    </row>
    <row r="51" spans="7:14">
      <c r="G51" t="str">
        <v>CAÇAPAVA</v>
      </c>
      <c r="K51" s="6" t="s">
        <v>171</v>
      </c>
      <c r="L51" t="s">
        <v>162</v>
      </c>
      <c r="M51" s="1">
        <f>COUNTIF(AREAS!L:L,Planilha2!L51)</f>
        <v>7</v>
      </c>
      <c r="N51" s="1">
        <f>_xlfn.XLOOKUP(L51,AREAS!L:L,AREAS!D:D,"não")</f>
        <v>1</v>
      </c>
    </row>
    <row r="52" spans="7:14">
      <c r="G52" t="str">
        <v>AVARÉ</v>
      </c>
      <c r="K52" s="6" t="s">
        <v>132</v>
      </c>
      <c r="L52" t="s">
        <v>163</v>
      </c>
      <c r="M52" s="1">
        <f>COUNTIF(AREAS!L:L,Planilha2!L52)</f>
        <v>4</v>
      </c>
      <c r="N52" s="1">
        <f>_xlfn.XLOOKUP(L52,AREAS!L:L,AREAS!D:D,"não")</f>
        <v>1</v>
      </c>
    </row>
    <row r="53" spans="7:14">
      <c r="G53" t="str">
        <v>POÇOS DE CALDAS</v>
      </c>
      <c r="K53" s="6" t="s">
        <v>155</v>
      </c>
      <c r="L53" t="s">
        <v>164</v>
      </c>
      <c r="M53" s="1">
        <f>COUNTIF(AREAS!L:L,Planilha2!L53)</f>
        <v>3</v>
      </c>
      <c r="N53" s="1">
        <f>_xlfn.XLOOKUP(L53,AREAS!L:L,AREAS!D:D,"não")</f>
        <v>1</v>
      </c>
    </row>
    <row r="54" spans="7:14">
      <c r="G54" t="str">
        <v>RIO DE JANEIRO</v>
      </c>
      <c r="K54" s="6" t="s">
        <v>125</v>
      </c>
      <c r="L54" t="s">
        <v>165</v>
      </c>
      <c r="M54" s="1">
        <f>COUNTIF(AREAS!L:L,Planilha2!L54)</f>
        <v>3</v>
      </c>
      <c r="N54" s="1">
        <f>_xlfn.XLOOKUP(L54,AREAS!L:L,AREAS!D:D,"não")</f>
        <v>1</v>
      </c>
    </row>
    <row r="55" spans="7:14">
      <c r="G55" t="str">
        <v>CABO FRIO</v>
      </c>
      <c r="K55" s="6" t="s">
        <v>128</v>
      </c>
      <c r="L55" t="s">
        <v>118</v>
      </c>
      <c r="M55" s="1">
        <f>COUNTIF(AREAS!L:L,Planilha2!L55)</f>
        <v>1</v>
      </c>
      <c r="N55" s="1">
        <f>_xlfn.XLOOKUP(L55,AREAS!L:L,AREAS!D:D,"não")</f>
        <v>1</v>
      </c>
    </row>
    <row r="56" spans="7:14">
      <c r="G56" t="str">
        <v xml:space="preserve">UBERABA </v>
      </c>
      <c r="K56" s="6" t="s">
        <v>604</v>
      </c>
      <c r="L56" t="s">
        <v>181</v>
      </c>
      <c r="M56" s="1">
        <f>COUNTIF(AREAS!L:L,Planilha2!L56)</f>
        <v>5</v>
      </c>
      <c r="N56" s="1">
        <f>_xlfn.XLOOKUP(L56,AREAS!L:L,AREAS!D:D,"não")</f>
        <v>1</v>
      </c>
    </row>
    <row r="57" spans="7:14">
      <c r="G57" t="str">
        <v xml:space="preserve">XEREM </v>
      </c>
      <c r="K57" s="6" t="s">
        <v>754</v>
      </c>
      <c r="L57" t="s">
        <v>167</v>
      </c>
      <c r="M57" s="1">
        <f>COUNTIF(AREAS!L:L,Planilha2!L57)</f>
        <v>3</v>
      </c>
      <c r="N57" s="1">
        <f>_xlfn.XLOOKUP(L57,AREAS!L:L,AREAS!D:D,"não")</f>
        <v>1</v>
      </c>
    </row>
    <row r="58" spans="7:14">
      <c r="G58" t="str">
        <v>UBERLÃNDIA</v>
      </c>
      <c r="K58" s="6" t="s">
        <v>152</v>
      </c>
      <c r="L58" t="s">
        <v>168</v>
      </c>
      <c r="M58" s="1">
        <f>COUNTIF(AREAS!L:L,Planilha2!L58)</f>
        <v>2</v>
      </c>
      <c r="N58" s="1">
        <f>_xlfn.XLOOKUP(L58,AREAS!L:L,AREAS!D:D,"não")</f>
        <v>1</v>
      </c>
    </row>
    <row r="59" spans="7:14">
      <c r="G59" t="str">
        <v>RIO GRANDE</v>
      </c>
      <c r="K59" s="6" t="s">
        <v>755</v>
      </c>
      <c r="L59" t="s">
        <v>169</v>
      </c>
      <c r="M59" s="1">
        <f>COUNTIF(AREAS!L:L,Planilha2!L59)</f>
        <v>1</v>
      </c>
      <c r="N59" s="1">
        <f>_xlfn.XLOOKUP(L59,AREAS!L:L,AREAS!D:D,"não")</f>
        <v>1</v>
      </c>
    </row>
    <row r="60" spans="7:14">
      <c r="G60" t="str">
        <v>CACHOEIRA DO SUL</v>
      </c>
      <c r="K60" s="6" t="s">
        <v>756</v>
      </c>
      <c r="L60" t="s">
        <v>170</v>
      </c>
      <c r="M60" s="1">
        <f>COUNTIF(AREAS!L:L,Planilha2!L60)</f>
        <v>2</v>
      </c>
      <c r="N60" s="1">
        <f>_xlfn.XLOOKUP(L60,AREAS!L:L,AREAS!D:D,"não")</f>
        <v>1</v>
      </c>
    </row>
    <row r="61" spans="7:14">
      <c r="G61" t="str">
        <v>GUAÍBA</v>
      </c>
      <c r="K61" s="6" t="s">
        <v>757</v>
      </c>
      <c r="L61" t="s">
        <v>171</v>
      </c>
      <c r="M61" s="1">
        <f>COUNTIF(AREAS!L:L,Planilha2!L61)</f>
        <v>2</v>
      </c>
      <c r="N61" s="1">
        <f>_xlfn.XLOOKUP(L61,AREAS!L:L,AREAS!D:D,"não")</f>
        <v>1</v>
      </c>
    </row>
    <row r="62" spans="7:14">
      <c r="G62" t="str">
        <v>PORTO ALEGRE</v>
      </c>
      <c r="K62" s="6" t="s">
        <v>191</v>
      </c>
      <c r="L62" t="s">
        <v>173</v>
      </c>
      <c r="M62" s="1">
        <f>COUNTIF(AREAS!L:L,Planilha2!L62)</f>
        <v>10</v>
      </c>
      <c r="N62" s="1">
        <f>_xlfn.XLOOKUP(L62,AREAS!L:L,AREAS!D:D,"não")</f>
        <v>1</v>
      </c>
    </row>
    <row r="63" spans="7:14">
      <c r="G63" t="str">
        <v>SANTA CRUZ DO SUL</v>
      </c>
      <c r="K63" s="6" t="s">
        <v>185</v>
      </c>
      <c r="L63" t="s">
        <v>178</v>
      </c>
      <c r="M63" s="1">
        <f>COUNTIF(AREAS!L:L,Planilha2!L63)</f>
        <v>4</v>
      </c>
      <c r="N63" s="1">
        <f>_xlfn.XLOOKUP(L63,AREAS!L:L,AREAS!D:D,"não")</f>
        <v>1</v>
      </c>
    </row>
    <row r="64" spans="7:14">
      <c r="G64" t="str">
        <v>SÃO LEOPOLDO</v>
      </c>
      <c r="K64" s="6" t="s">
        <v>187</v>
      </c>
      <c r="L64" t="s">
        <v>180</v>
      </c>
      <c r="M64" s="1">
        <f>COUNTIF(AREAS!L:L,Planilha2!L64)</f>
        <v>7</v>
      </c>
      <c r="N64" s="1">
        <f>_xlfn.XLOOKUP(L64,AREAS!L:L,AREAS!D:D,"não")</f>
        <v>1</v>
      </c>
    </row>
    <row r="65" spans="7:14">
      <c r="G65" t="str">
        <v>CAXIAS DO SUL</v>
      </c>
      <c r="K65" s="6" t="s">
        <v>563</v>
      </c>
      <c r="L65" t="s">
        <v>184</v>
      </c>
      <c r="M65" s="1">
        <f>COUNTIF(AREAS!L:L,Planilha2!L65)</f>
        <v>2</v>
      </c>
      <c r="N65" s="1">
        <f>_xlfn.XLOOKUP(L65,AREAS!L:L,AREAS!D:D,"não")</f>
        <v>1</v>
      </c>
    </row>
    <row r="66" spans="7:14">
      <c r="G66" t="str">
        <v>CANELA</v>
      </c>
      <c r="K66" s="6" t="s">
        <v>189</v>
      </c>
      <c r="L66" t="s">
        <v>185</v>
      </c>
      <c r="M66" s="1">
        <f>COUNTIF(AREAS!L:L,Planilha2!L66)</f>
        <v>1</v>
      </c>
      <c r="N66" s="1">
        <f>_xlfn.XLOOKUP(L66,AREAS!L:L,AREAS!D:D,"não")</f>
        <v>1</v>
      </c>
    </row>
    <row r="67" spans="7:14">
      <c r="G67" t="str">
        <v>VIAMÃO</v>
      </c>
      <c r="K67" s="6" t="s">
        <v>167</v>
      </c>
      <c r="L67" t="s">
        <v>187</v>
      </c>
      <c r="M67" s="1">
        <f>COUNTIF(AREAS!L:L,Planilha2!L67)</f>
        <v>1</v>
      </c>
      <c r="N67" s="1">
        <f>_xlfn.XLOOKUP(L67,AREAS!L:L,AREAS!D:D,"não")</f>
        <v>1</v>
      </c>
    </row>
    <row r="68" spans="7:14">
      <c r="G68" t="str">
        <v>PELOTAS</v>
      </c>
      <c r="K68" s="6" t="s">
        <v>157</v>
      </c>
      <c r="L68" t="s">
        <v>189</v>
      </c>
      <c r="M68" s="1">
        <f>COUNTIF(AREAS!L:L,Planilha2!L68)</f>
        <v>2</v>
      </c>
      <c r="N68" s="1">
        <f>_xlfn.XLOOKUP(L68,AREAS!L:L,AREAS!D:D,"não")</f>
        <v>1</v>
      </c>
    </row>
    <row r="69" spans="7:14">
      <c r="G69" t="str">
        <v>ALVORADA</v>
      </c>
      <c r="K69" s="6" t="s">
        <v>163</v>
      </c>
      <c r="L69" t="s">
        <v>191</v>
      </c>
      <c r="M69" s="1">
        <f>COUNTIF(AREAS!L:L,Planilha2!L69)</f>
        <v>1</v>
      </c>
      <c r="N69" s="1">
        <f>_xlfn.XLOOKUP(L69,AREAS!L:L,AREAS!D:D,"não")</f>
        <v>1</v>
      </c>
    </row>
    <row r="70" spans="7:14">
      <c r="G70" t="str">
        <v>SAPIRANGA</v>
      </c>
      <c r="K70" s="6" t="s">
        <v>162</v>
      </c>
      <c r="L70" t="s">
        <v>585</v>
      </c>
      <c r="M70" s="1">
        <f>COUNTIF(AREAS!L:L,Planilha2!L70)</f>
        <v>2</v>
      </c>
      <c r="N70" s="1">
        <f>_xlfn.XLOOKUP(L70,AREAS!L:L,AREAS!D:D,"não")</f>
        <v>1</v>
      </c>
    </row>
    <row r="71" spans="7:14">
      <c r="G71" t="str">
        <v>TORRES</v>
      </c>
      <c r="K71" s="6" t="s">
        <v>158</v>
      </c>
      <c r="L71" t="s">
        <v>194</v>
      </c>
      <c r="M71" s="1">
        <f>COUNTIF(AREAS!L:L,Planilha2!L71)</f>
        <v>1</v>
      </c>
      <c r="N71" s="1">
        <f>_xlfn.XLOOKUP(L71,AREAS!L:L,AREAS!D:D,"não")</f>
        <v>1</v>
      </c>
    </row>
    <row r="72" spans="7:14">
      <c r="G72" t="str">
        <v>GUARAPUAVA</v>
      </c>
      <c r="K72" s="6" t="s">
        <v>165</v>
      </c>
      <c r="L72" t="s">
        <v>196</v>
      </c>
      <c r="M72" s="1">
        <f>COUNTIF(AREAS!L:L,Planilha2!L72)</f>
        <v>8</v>
      </c>
      <c r="N72" s="1">
        <f>_xlfn.XLOOKUP(L72,AREAS!L:L,AREAS!D:D,"não")</f>
        <v>1</v>
      </c>
    </row>
    <row r="73" spans="7:14">
      <c r="G73" t="str">
        <v>VITORINO</v>
      </c>
      <c r="K73" s="6" t="s">
        <v>159</v>
      </c>
      <c r="L73" t="s">
        <v>563</v>
      </c>
      <c r="M73" s="1">
        <f>COUNTIF(AREAS!L:L,Planilha2!L73)</f>
        <v>1</v>
      </c>
      <c r="N73" s="1">
        <f>_xlfn.XLOOKUP(L73,AREAS!L:L,AREAS!D:D,"não")</f>
        <v>1</v>
      </c>
    </row>
    <row r="74" spans="7:14">
      <c r="G74" t="str">
        <v>PALMAS</v>
      </c>
      <c r="K74" s="6" t="s">
        <v>758</v>
      </c>
      <c r="L74" t="s">
        <v>154</v>
      </c>
      <c r="M74" s="1">
        <f>COUNTIF(AREAS!L:L,Planilha2!L74)</f>
        <v>1</v>
      </c>
      <c r="N74" s="1">
        <f>_xlfn.XLOOKUP(L74,AREAS!L:L,AREAS!D:D,"não")</f>
        <v>1</v>
      </c>
    </row>
    <row r="75" spans="7:14">
      <c r="G75" t="str">
        <v>BARREIRAS</v>
      </c>
      <c r="K75" s="6" t="s">
        <v>160</v>
      </c>
      <c r="L75" t="s">
        <v>567</v>
      </c>
      <c r="M75" s="1">
        <f>COUNTIF(AREAS!L:L,Planilha2!L75)</f>
        <v>0</v>
      </c>
      <c r="N75" s="1" t="str">
        <f>_xlfn.XLOOKUP(L75,AREAS!L:L,AREAS!D:D,"não")</f>
        <v>não</v>
      </c>
    </row>
    <row r="76" spans="7:14">
      <c r="G76" t="str">
        <v>FORMOSA</v>
      </c>
      <c r="K76" s="6" t="s">
        <v>168</v>
      </c>
      <c r="L76" t="s">
        <v>571</v>
      </c>
      <c r="M76" s="1">
        <f>COUNTIF(AREAS!L:L,Planilha2!L76)</f>
        <v>1</v>
      </c>
      <c r="N76" s="1">
        <f>_xlfn.XLOOKUP(L76,AREAS!L:L,AREAS!D:D,"não")</f>
        <v>1</v>
      </c>
    </row>
    <row r="77" spans="7:14">
      <c r="G77" t="str">
        <v>LUZIMANGUES</v>
      </c>
      <c r="K77" s="6" t="s">
        <v>161</v>
      </c>
      <c r="L77" t="s">
        <v>583</v>
      </c>
      <c r="M77" s="1">
        <f>COUNTIF(AREAS!L:L,Planilha2!L77)</f>
        <v>1</v>
      </c>
      <c r="N77" s="1">
        <f>_xlfn.XLOOKUP(L77,AREAS!L:L,AREAS!D:D,"não")</f>
        <v>1</v>
      </c>
    </row>
    <row r="78" spans="7:14">
      <c r="G78" t="str">
        <v xml:space="preserve">PORANGATU </v>
      </c>
      <c r="K78" s="6" t="s">
        <v>169</v>
      </c>
      <c r="M78" s="1">
        <f>SUM(M6:M77)</f>
        <v>229</v>
      </c>
    </row>
    <row r="79" spans="7:14">
      <c r="G79">
        <v>0</v>
      </c>
      <c r="K79" s="6" t="s">
        <v>164</v>
      </c>
    </row>
    <row r="80" spans="7:14">
      <c r="K80" s="6" t="s">
        <v>104</v>
      </c>
    </row>
    <row r="81" spans="11:11">
      <c r="K81" s="6" t="s">
        <v>759</v>
      </c>
    </row>
    <row r="82" spans="11:11">
      <c r="K82" s="6" t="s">
        <v>147</v>
      </c>
    </row>
    <row r="83" spans="11:11">
      <c r="K83" s="6" t="s">
        <v>145</v>
      </c>
    </row>
    <row r="84" spans="11:11">
      <c r="K84" s="6" t="s">
        <v>760</v>
      </c>
    </row>
    <row r="85" spans="11:11">
      <c r="K85" s="6" t="s">
        <v>606</v>
      </c>
    </row>
    <row r="86" spans="11:11">
      <c r="K86" s="6" t="s">
        <v>137</v>
      </c>
    </row>
    <row r="87" spans="11:11">
      <c r="K87" s="6" t="s">
        <v>138</v>
      </c>
    </row>
    <row r="88" spans="11:11">
      <c r="K88" s="6" t="s">
        <v>761</v>
      </c>
    </row>
    <row r="89" spans="11:11">
      <c r="K89" s="6" t="s">
        <v>84</v>
      </c>
    </row>
    <row r="90" spans="11:11">
      <c r="K90" s="6" t="s">
        <v>57</v>
      </c>
    </row>
    <row r="91" spans="11:11">
      <c r="K91" s="6" t="s">
        <v>762</v>
      </c>
    </row>
  </sheetData>
  <mergeCells count="5">
    <mergeCell ref="B10:C10"/>
    <mergeCell ref="B11:C11"/>
    <mergeCell ref="B19:C19"/>
    <mergeCell ref="B5:C5"/>
    <mergeCell ref="B17:C17"/>
  </mergeCells>
  <conditionalFormatting sqref="K6:L9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Erick Robert Coelho Pinto</cp:lastModifiedBy>
  <dcterms:created xsi:type="dcterms:W3CDTF">2026-03-04T11:46:26Z</dcterms:created>
  <dcterms:modified xsi:type="dcterms:W3CDTF">2026-06-16T17:34:50Z</dcterms:modified>
</cp:coreProperties>
</file>